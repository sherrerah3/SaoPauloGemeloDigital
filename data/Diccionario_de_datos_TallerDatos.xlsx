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1. Fuentes" sheetId="2" r:id="rId6"/>
    <sheet state="visible" name="2. Diccionario" sheetId="3" r:id="rId7"/>
    <sheet state="visible" name="3. Bitácora IA" sheetId="4" r:id="rId8"/>
    <sheet state="visible" name="Resumen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tc={16aa9c42-26ff-45cc-9a60-dba480b6e9e6}</author>
    <author>tc={1e5f92c9-7b90-41f2-ad13-a6c23ed4845f}</author>
    <author>tc={3bd3b997-ec23-4f10-9c7f-c13693ca2c32}</author>
  </authors>
  <commentList>
    <comment authorId="0" ref="M5">
      <text>
        <t xml:space="preserve">P1 y P2 son las dos preguntas propuestas en el documento PDF de la la entrega 1.
</t>
      </text>
    </comment>
    <comment authorId="1" xr:uid="{16aa9c42-26ff-45cc-9a60-dba480b6e9e6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idhm_longevidad e idhm_educacion solo merecen fila si la usamos Ninguna de sus tres preguntas depende de ellas; se puede analizar mejor para determinar si pertenece al lago o no.
</t>
      </text>
    </comment>
    <comment authorId="2" xr:uid="{1e5f92c9-7b90-41f2-ad13-a6c23ed4845f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y lote son opcionales, solo entran si lo usamos para comparar operadores. Si no, quitarlos del lago.
</t>
      </text>
    </comment>
    <comment authorId="3" xr:uid="{3bd3b997-ec23-4f10-9c7f-c13693ca2c32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Podriamos usar los datos para comparar con otras ciudades de brasil
</t>
      </text>
    </comment>
  </commentList>
</comments>
</file>

<file path=xl/sharedStrings.xml><?xml version="1.0" encoding="utf-8"?>
<sst xmlns="http://schemas.openxmlformats.org/spreadsheetml/2006/main" count="2308" uniqueCount="915">
  <si>
    <t>1. Catálogo de fuentes</t>
  </si>
  <si>
    <t>3. Bitácora de la búsqueda con IA</t>
  </si>
  <si>
    <t>2. Diccionario de datos</t>
  </si>
  <si>
    <t>Una fila por fuente encontrada. Escriban en las celdas amarillas; la fila gris es un ejemplo.</t>
  </si>
  <si>
    <t>Qué le encargaron a la IA y qué pasó con lo que respondió. Incluyan los errores: valen tanto como los aciertos.</t>
  </si>
  <si>
    <t>Una fila por campo que quedó en el lago. Si un campo del lago no aparece aquí, no existe.</t>
  </si>
  <si>
    <t>ID fuente</t>
  </si>
  <si>
    <t>#</t>
  </si>
  <si>
    <t>Nombre del conjunto de datos</t>
  </si>
  <si>
    <t>Entidad que lo publica</t>
  </si>
  <si>
    <t>Herramienta de IA</t>
  </si>
  <si>
    <t>Archivo o tabla en el lago</t>
  </si>
  <si>
    <t>Tipo de publicador</t>
  </si>
  <si>
    <t>Qué le encargaron</t>
  </si>
  <si>
    <t>Nombre del campo en el lago</t>
  </si>
  <si>
    <t>Qué respondió (resumen)</t>
  </si>
  <si>
    <t>URL exacta (descarga o API)</t>
  </si>
  <si>
    <t>Cómo lo comprobaron</t>
  </si>
  <si>
    <t>Nombre original en la fuente</t>
  </si>
  <si>
    <t>Formato</t>
  </si>
  <si>
    <t>Resultado</t>
  </si>
  <si>
    <t>Qué significa (en una frase)</t>
  </si>
  <si>
    <t>Cómo se obtiene</t>
  </si>
  <si>
    <t>ID fuente que salió de ahí</t>
  </si>
  <si>
    <t>Licencia (tal como aparece)</t>
  </si>
  <si>
    <t>Tipo de dato</t>
  </si>
  <si>
    <t>Qué aprendieron</t>
  </si>
  <si>
    <t>¿Trae datos de personas?</t>
  </si>
  <si>
    <t>Unidad de medida</t>
  </si>
  <si>
    <t>Cobertura geográfica</t>
  </si>
  <si>
    <t>Ejemplo de valor</t>
  </si>
  <si>
    <t>Periodo que cubre</t>
  </si>
  <si>
    <t>1</t>
  </si>
  <si>
    <t>Frecuencia de actualización</t>
  </si>
  <si>
    <t>¿Puede venir vacío?</t>
  </si>
  <si>
    <t>Fecha en que la probaron (AAAA-MM-DD)</t>
  </si>
  <si>
    <t>Valores permitidos o rango</t>
  </si>
  <si>
    <t>Estado</t>
  </si>
  <si>
    <t>Clasificación</t>
  </si>
  <si>
    <t>Cómo la encontraron (IA o búsqueda)</t>
  </si>
  <si>
    <t>Observaciones</t>
  </si>
  <si>
    <t>Transformación que le hicieron</t>
  </si>
  <si>
    <t>Pregunta del sistema que ayuda a responder</t>
  </si>
  <si>
    <t>F01</t>
  </si>
  <si>
    <t>Claude</t>
  </si>
  <si>
    <t>Encontrar una fuente abierta y sin llave que mida cuánto interés despierta Medellín fuera de la ciudad</t>
  </si>
  <si>
    <t>Vistas mensuales del artículo «Medellín» en Wikipedia</t>
  </si>
  <si>
    <t>Propuso Google Trends y la API de vistas de Wikipedia</t>
  </si>
  <si>
    <t>Wikimedia Foundation</t>
  </si>
  <si>
    <t>Probamos las dos: Google Trends no tiene API abierta ni licencia de reutilización; la de Wikipedia respondió con curl y declara CC0</t>
  </si>
  <si>
    <t>Parcial</t>
  </si>
  <si>
    <t>Plataforma colaborativa</t>
  </si>
  <si>
    <t>https://wikimedia.org/api/rest_v1/metrics/pageviews/per-article/es.wikipedia/all-access/user/Medellín/monthly/20250101/20260831</t>
  </si>
  <si>
    <t>lago/escucha.json</t>
  </si>
  <si>
    <t>Que la IA nombre una fuente no quiere decir que se pueda usar: la licencia y el acceso se comprueban uno mismo.</t>
  </si>
  <si>
    <t>JSON</t>
  </si>
  <si>
    <t>vistas_ultimo_mes</t>
  </si>
  <si>
    <t>API sin llave</t>
  </si>
  <si>
    <t>views</t>
  </si>
  <si>
    <t>CC0</t>
  </si>
  <si>
    <t>No</t>
  </si>
  <si>
    <t>Vistas del artículo de la ciudad hechas por personas en el último mes completo</t>
  </si>
  <si>
    <t>Ciudad (artículo)</t>
  </si>
  <si>
    <t>2025-01 a 2026-08</t>
  </si>
  <si>
    <t>Entero</t>
  </si>
  <si>
    <t>Mensual</t>
  </si>
  <si>
    <t>vistas de personas</t>
  </si>
  <si>
    <t>2026-09-14</t>
  </si>
  <si>
    <t>19552</t>
  </si>
  <si>
    <t>Integrada al lago</t>
  </si>
  <si>
    <t>Se la pedimos a la IA como «fuente de interés público sobre la ciudad»; la probamos con curl</t>
  </si>
  <si>
    <t>Cuenta personas, no bots (agente «user»).</t>
  </si>
  <si>
    <t>≥ 0</t>
  </si>
  <si>
    <t>Pública</t>
  </si>
  <si>
    <t>Preguntamos cuales eran las principales organizaciones/portales para consultar datos de Sao Paulo</t>
  </si>
  <si>
    <t>Se toma el último mes de la serie; la fecha AAAAMMDD se pasa a AAAA-MM</t>
  </si>
  <si>
    <t>Nos dijo para el gemelo 3D GeoSampa, y para datos nos dijo de Info Cidade. Estas 2 fueron las principales fuentes de donde sacamos nuestros datasets.</t>
  </si>
  <si>
    <t>Poblacion de Brasil, estado de Sao Paulo, Region Metropolitana y Municipio de Sao Paulo</t>
  </si>
  <si>
    <t>¿Cuánto interés despierta la ciudad fuera de ella y cómo cambia en el año?</t>
  </si>
  <si>
    <t>Infocidade</t>
  </si>
  <si>
    <t>Entramos a esas paginas y verificamos que los datos si existieran y no fueran muy antiguos, que nos sumaran valor en nuestra propuesta.</t>
  </si>
  <si>
    <t>[archivo_f01]</t>
  </si>
  <si>
    <t>anio</t>
  </si>
  <si>
    <t>Ano</t>
  </si>
  <si>
    <t>Año del censo demográfico al que corresponde la cifra</t>
  </si>
  <si>
    <t>Entidad pública</t>
  </si>
  <si>
    <t>Correcto</t>
  </si>
  <si>
    <t>F01, F03-F07, F11-F28, estas para infocidade. Luego de la F28-F41 para GeoSampa</t>
  </si>
  <si>
    <t>https://www.prefeitura.sp.gov.br/cidade/secretarias/upload/chamadas/312_censo_br-rm-uf-msp_pop-abs_1872-2022_final_1715804989.xlsx</t>
  </si>
  <si>
    <t>Gemini</t>
  </si>
  <si>
    <t>Extraer informacion basica de algunas fuentes de datos (archivos del tipo XLS o XLSX) para rellenar algunos de los campos con mayor agilidad.</t>
  </si>
  <si>
    <t>A partir del archivo, dio respuesta a los campos: "Licencia", "¿Trae datos de personas?", "Cobertura geografica", "Frecuencia de actualizacion".</t>
  </si>
  <si>
    <t>Vimos los archivos y comprobamos que si estuviera definiendo bien estos campos para la respectiva fuente de datos, ademas de mantenerse consistente por la informacion proveida en el sitio que los provee.</t>
  </si>
  <si>
    <t>Año</t>
  </si>
  <si>
    <t>F01, F03-F04, F06-F07, F11-F28</t>
  </si>
  <si>
    <t>No hay necesidad absoluta de entrar a cada uno de los archivos y verificar la naturaleza de los datos que provee gracias a las nuevas tecnologias, pero sigue la importancia de verificar que la informacion proveida sea correcta, por mas sencilla que sea.</t>
  </si>
  <si>
    <t>1872, 1890, 1900, 1920, 1940, 1950, 1960, 1970, 1980, 1991, 2000, 2010, 2022</t>
  </si>
  <si>
    <t>Taller de datos · Entrega 1 · El lago y su diccionario</t>
  </si>
  <si>
    <t>Ninguna (se descartaron las filas de título y las notas)</t>
  </si>
  <si>
    <t>P1</t>
  </si>
  <si>
    <t>poblacion_brasil</t>
  </si>
  <si>
    <t>Tópicos de Sistemas de Información · Profesor Santiago Jiménez Londoño · topicos-si.vercel.app/Tallerdatos</t>
  </si>
  <si>
    <t>Brasil</t>
  </si>
  <si>
    <t>Personas contadas en todo Brasil en ese censo.</t>
  </si>
  <si>
    <t>Personas</t>
  </si>
  <si>
    <t>9.930.478 a 203.080.756</t>
  </si>
  <si>
    <t>Se quitaron los puntos de miles y se convirtió a entero</t>
  </si>
  <si>
    <t>Datos del grupo</t>
  </si>
  <si>
    <t>poblacion_estado_sp</t>
  </si>
  <si>
    <t>Estado de São Paulo</t>
  </si>
  <si>
    <t>Personas contadas en el Estado de São Paulo en ese censo.</t>
  </si>
  <si>
    <t>837.354 a 44.411.238</t>
  </si>
  <si>
    <t>Ciudad elegida: Sao Paulo</t>
  </si>
  <si>
    <t>poblacion_rm_sp</t>
  </si>
  <si>
    <t>RM de São Paulo</t>
  </si>
  <si>
    <t>Personas contadas en la Región Metropolitana de São Paulo, creada en 1973.</t>
  </si>
  <si>
    <t>Integrantes: Juan José Gómez Ramírez, Samuel Henao Castrillon, Samuel Herrera Hoyos, Juan Carlos Fernandez</t>
  </si>
  <si>
    <t>Sí</t>
  </si>
  <si>
    <t>12.588.745 a 20.731.920</t>
  </si>
  <si>
    <t>Se quitaron los puntos de miles; el «-» original pasó a vacío</t>
  </si>
  <si>
    <t>Enlace al repositorio o a la carpeta del lago:</t>
  </si>
  <si>
    <t>poblacion_municipio_sp</t>
  </si>
  <si>
    <t>Município de São Paulo</t>
  </si>
  <si>
    <t>Personas contadas en la ciudad de São Paulo en ese censo.</t>
  </si>
  <si>
    <t>XLS</t>
  </si>
  <si>
    <t>Qué entregan en este archivo</t>
  </si>
  <si>
    <t>1. Fuentes · una fila por cada fuente que encontraron en el rastreo, entre o no al lago. Las descartadas también cuentan: explican las decisiones.</t>
  </si>
  <si>
    <t>31.385 a 11.451.999</t>
  </si>
  <si>
    <t>2. Diccionario · una fila por cada campo (columna o clave del JSON) que quedó en el lago. Si un campo no está aquí, no existe.</t>
  </si>
  <si>
    <t>Descarga directa</t>
  </si>
  <si>
    <t>3. Bitácora IA · qué le encargaron a la IA durante la búsqueda, qué respondió y cómo lo comprobaron.</t>
  </si>
  <si>
    <t>F02</t>
  </si>
  <si>
    <t>Resumen · se llena solo con fórmulas. No lo editen.</t>
  </si>
  <si>
    <t>[archivo_f02]</t>
  </si>
  <si>
    <t>fecha</t>
  </si>
  <si>
    <t>timestamp</t>
  </si>
  <si>
    <t>Mes al que corresponde la cifra (el día y la hora no significan nada)</t>
  </si>
  <si>
    <t>Cómo llenarlo</t>
  </si>
  <si>
    <t>Fecha</t>
  </si>
  <si>
    <t>Mes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</si>
  <si>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</si>
  <si>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• Escriban solo en las celdas amarillas. La fila gris de cada hoja es un ejemplo (Medellín): pueden borrarla o dejarla, el resumen no la cuenta.</t>
  </si>
  <si>
    <t>2025010100 a 2026080100</t>
  </si>
  <si>
    <t>• El ID de fuente (F01, F02…) une las tres hojas: úsenlo igual en Fuentes, Diccionario y Bitácora IA.</t>
  </si>
  <si>
    <t>pasada a AAAA-MM</t>
  </si>
  <si>
    <t>• Las columnas con lista desplegable solo aceptan esas opciones.</t>
  </si>
  <si>
    <t>• La licencia se copia tal como aparece en la fuente. Si la fuente no dice nada, escriban «no declara»: no la supongan.</t>
  </si>
  <si>
    <t>Brasil, Estado de Sao Paulo, Region Metropolitana de Sao Paulo y Municipio de Sao Paulo</t>
  </si>
  <si>
    <t>visitas</t>
  </si>
  <si>
    <t>1872-01 a 2022-12</t>
  </si>
  <si>
    <t>• «Fecha en que la probaron» es el día en que la descarga o la API respondió de verdad, no el día en que la IA la mencionó.</t>
  </si>
  <si>
    <t>Veces que lectores humanos abrieron el artículo «São_Paulo» de la Wikipedia en portugués ese mes</t>
  </si>
  <si>
    <t>• Una fuente que la IA nombró y que ustedes no pudieron abrir va igual en Fuentes, con estado «No responde» o «No existe».</t>
  </si>
  <si>
    <t>Visitas por mes</t>
  </si>
  <si>
    <t>29.363 a 61.277</t>
  </si>
  <si>
    <t>Se quitaron los campos constantes del JSON y se aplanó a una fila por mes</t>
  </si>
  <si>
    <t>F03</t>
  </si>
  <si>
    <t>[archivo_f03]</t>
  </si>
  <si>
    <t>red</t>
  </si>
  <si>
    <t>Rede Municipal, Estadual, Federal, Privada</t>
  </si>
  <si>
    <t>Quién administra el establecimiento.</t>
  </si>
  <si>
    <t>Texto</t>
  </si>
  <si>
    <t>Ninguna</t>
  </si>
  <si>
    <t>Rede Municipal</t>
  </si>
  <si>
    <t>Municipal, Estadual, Federal, Privada</t>
  </si>
  <si>
    <t>La red, que estaba como título de bloque, pasó a ser una columna</t>
  </si>
  <si>
    <t>P2</t>
  </si>
  <si>
    <t>tipo_servicio</t>
  </si>
  <si>
    <t>AMBULATÓRIO ESPECIALIZADO, HOSPITAL, etc.</t>
  </si>
  <si>
    <t>Candidata</t>
  </si>
  <si>
    <t>Tipo de servicio del establecimiento. «OUTROS» agrupa los que no encajan en ninguna otra categoría.</t>
  </si>
  <si>
    <t>Se le pregunto a la IA por un portal de datos, de ahi se busco por la fuente especifica en el sitio dado.</t>
  </si>
  <si>
    <t>Descarga directa de archivo de Excel, no se pide credenciales ni tokens.</t>
  </si>
  <si>
    <t>HOSPITAL</t>
  </si>
  <si>
    <t>Vistas mensuales del artículo «São Paulo» en Wikipedia</t>
  </si>
  <si>
    <t>Wikimedia</t>
  </si>
  <si>
    <t>10 tipos que aparecen en la fuente (no todos en todas las redes)</t>
  </si>
  <si>
    <t>https://wikimedia.org/api/rest_v1/metrics/pageviews/per-article/pt.wikipedia/all-access/user/S%C3%A3o_Paulo/monthly/20250101/20260831</t>
  </si>
  <si>
    <t>Igual que red</t>
  </si>
  <si>
    <t>establecimientos</t>
  </si>
  <si>
    <t>número a la derecha del tipo</t>
  </si>
  <si>
    <t>Cantidad de establecimientos de ese tipo y red en 2025.</t>
  </si>
  <si>
    <t>Establecimientos</t>
  </si>
  <si>
    <t>1 a 480</t>
  </si>
  <si>
    <t>Se quitaron las filas de total (995 y subtotales por red) para evitar doble conteo</t>
  </si>
  <si>
    <t>F04</t>
  </si>
  <si>
    <t>[archivo_f04]</t>
  </si>
  <si>
    <t>2016 … 2025 (encabezado de columna)</t>
  </si>
  <si>
    <t>Año del ejercicio fiscal.</t>
  </si>
  <si>
    <t>2016 a 2025</t>
  </si>
  <si>
    <t>El año, que estaba como columna, pasó a una fila por año</t>
  </si>
  <si>
    <t>tipo</t>
  </si>
  <si>
    <t>bloques «Receitas» y «Despesas»</t>
  </si>
  <si>
    <t>Si la fila es ingreso o gasto.</t>
  </si>
  <si>
    <t>Despesa</t>
  </si>
  <si>
    <t>Receita, Despesa</t>
  </si>
  <si>
    <t>Se creó a partir de los títulos de bloque</t>
  </si>
  <si>
    <t>concepto</t>
  </si>
  <si>
    <t>primera columna (ej. «Pessoal e Encargos Sociais»)</t>
  </si>
  <si>
    <t>Categoría económica del ingreso o gasto, con los nombres de la fuente.</t>
  </si>
  <si>
    <t>Pessoal e Encargos Sociais</t>
  </si>
  <si>
    <t>Los de la fuente (Receita tributária, Investimentos…)</t>
  </si>
  <si>
    <t>Ninguna (o: se quitaron los totales)</t>
  </si>
  <si>
    <t>Se la pedimos a la IA buscando una métrica alternativa sobre el interés turístico/público por la ciudad.</t>
  </si>
  <si>
    <t>valor_rs</t>
  </si>
  <si>
    <t>celdas de cada año</t>
  </si>
  <si>
    <t>Cuenta solo las visitas de personas reales, excluyendo el tráfico de bots o arañas web.</t>
  </si>
  <si>
    <t>Ingreso realizado o gasto empenhado en el año (ver abajo).</t>
  </si>
  <si>
    <t>Decimal</t>
  </si>
  <si>
    <t>R$ corrientes, sin ajustar por inflación</t>
  </si>
  <si>
    <t>Establecimientos y servicios de salud por red en el municipio de Sao Paulo</t>
  </si>
  <si>
    <t>Hasta unos 123,9 mil millones de R$ (con totales)</t>
  </si>
  <si>
    <t>Se cambió el formato (puntos de miles, coma decimal) y el «-» pasó a vacío</t>
  </si>
  <si>
    <t>https://prefeitura.sp.gov.br/documents/d/licenciamento/tabela-estabelecimentos-e-servicos-de-saude-por-rede-2025</t>
  </si>
  <si>
    <t>F05</t>
  </si>
  <si>
    <t>[archivo_f05]</t>
  </si>
  <si>
    <t>anio, mes</t>
  </si>
  <si>
    <t>no vienen en las columnas (salen del nombre del archivo)</t>
  </si>
  <si>
    <t>Mes al que corresponde la fila.</t>
  </si>
  <si>
    <t>Año, mes</t>
  </si>
  <si>
    <t>2023–2026; 1–12</t>
  </si>
  <si>
    <t>Se agregaron al unir los archivos mensuales</t>
  </si>
  <si>
    <t>codigo_linea</t>
  </si>
  <si>
    <t>Linha (primera parte)</t>
  </si>
  <si>
    <t>Código de la línea de bus. Es texto: algunos traen letras («342M10»).</t>
  </si>
  <si>
    <t>Códigos de SPTrans</t>
  </si>
  <si>
    <t>Se separó del nombre</t>
  </si>
  <si>
    <t>nombre_linea</t>
  </si>
  <si>
    <t>Linha (segunda parte)</t>
  </si>
  <si>
    <t>Origen y destino de la línea. Está truncado a unos 40 caracteres.</t>
  </si>
  <si>
    <t>TERM V CARRAO/PCA DA SE CIRC</t>
  </si>
  <si>
    <t>Se separó del código</t>
  </si>
  <si>
    <t>grupo</t>
  </si>
  <si>
    <t>Grupo</t>
  </si>
  <si>
    <t>Grupo de operación al que pertenece la línea (ej. «Articulação»).</t>
  </si>
  <si>
    <t>GRUPO ARTICULAÇÃO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</si>
  <si>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</si>
  <si>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Los de SPTrans</t>
  </si>
  <si>
    <t>1872 a 2022</t>
  </si>
  <si>
    <t>pasajeros_pagantes</t>
  </si>
  <si>
    <t>Passageiros Pagantes</t>
  </si>
  <si>
    <t>Decenal</t>
  </si>
  <si>
    <t>Viajes pagados con dinero o tarjeta en esa línea y mes.</t>
  </si>
  <si>
    <t>Pasajeros</t>
  </si>
  <si>
    <t>0 a … 800.000</t>
  </si>
  <si>
    <t>Ingresos por fuente y gastos por categoria, municipio de Sao Paulo</t>
  </si>
  <si>
    <t>Se quitó el separador de miles</t>
  </si>
  <si>
    <t>pasajeros_integracion</t>
  </si>
  <si>
    <t>Passageiros Int Ônibus-&gt;Ônibus</t>
  </si>
  <si>
    <t>https://prefeitura.sp.gov.br/documents/d/licenciamento/1_receita_segundo_fontes_e_despesas_por_categoria_2025-1-</t>
  </si>
  <si>
    <t>Pasajeros que hicieron transbordo de otro bus a esta línea sin pagar de nuevo.</t>
  </si>
  <si>
    <t>0 a … 500.000</t>
  </si>
  <si>
    <t>Igual</t>
  </si>
  <si>
    <t>pasajeros_gratuidad</t>
  </si>
  <si>
    <t>Passageiros Com Gratuidade (y Est)</t>
  </si>
  <si>
    <t>Pasajeros que viajaron gratis (derecho legal, por ejemplo mayores de 65) y estudiantes con gratuidad.</t>
  </si>
  <si>
    <t>Se sumaron las dos columnas, Gratuidade y Gratuidade Est (Estudiantes)</t>
  </si>
  <si>
    <t>pasajeros_total</t>
  </si>
  <si>
    <t>Tot Passageiros Transportados</t>
  </si>
  <si>
    <t>Total de pasajeros que subieron a esa línea ese mes.</t>
  </si>
  <si>
    <t>0 a 1.000.0000</t>
  </si>
  <si>
    <t>F06</t>
  </si>
  <si>
    <t>[archivo_f06]</t>
  </si>
  <si>
    <t>primera columna</t>
  </si>
  <si>
    <t>Año de la medición.</t>
  </si>
  <si>
    <t>1933 a 2025</t>
  </si>
  <si>
    <t>Se separaron las filas de año de las de «normales»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</si>
  <si>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</si>
  <si>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mes</t>
  </si>
  <si>
    <t>JAN … DEZ</t>
  </si>
  <si>
    <t>Municipio de Sao Paulo</t>
  </si>
  <si>
    <t>Mes de la medición (1 a 12).</t>
  </si>
  <si>
    <t>Anual</t>
  </si>
  <si>
    <t>1 a 12</t>
  </si>
  <si>
    <t>Los nombres abreviados en portugués pasaron a número</t>
  </si>
  <si>
    <t>temp_min_media_c</t>
  </si>
  <si>
    <t>celdas de cada mes</t>
  </si>
  <si>
    <t>Promedio mensual de las temperaturas mínimas del aire, medido en una sola estación (IAG Água Funda).</t>
  </si>
  <si>
    <t>Passageiros Transportados - SPTrans</t>
  </si>
  <si>
    <t>°C</t>
  </si>
  <si>
    <t>16,2</t>
  </si>
  <si>
    <t>7,1 a 20,0</t>
  </si>
  <si>
    <t>https://prefeitura.sp.gov.br/web/mobilidade/w/institucional/sptrans/acesso_a_informacao/152416</t>
  </si>
  <si>
    <t>Coma decimal pasó a punto; se pivotó de ancho a largo</t>
  </si>
  <si>
    <t>F07</t>
  </si>
  <si>
    <t>[archivo_f07]</t>
  </si>
  <si>
    <t>2000, 2010 (encabezado de bloque)</t>
  </si>
  <si>
    <t>Año del censo del que sale el índice.</t>
  </si>
  <si>
    <t>Resumen del lago</t>
  </si>
  <si>
    <t>Se calcula solo desde las otras hojas; no cuenta las filas de ejemplo (fila 4).</t>
  </si>
  <si>
    <t>2000, 2010</t>
  </si>
  <si>
    <t>El año, que era encabezado de columna, pasó a una fila por zona y año</t>
  </si>
  <si>
    <t>Fuentes registradas</t>
  </si>
  <si>
    <t>prefeitura_regional</t>
  </si>
  <si>
    <t>Prefeituras Regionais</t>
  </si>
  <si>
    <t>Zona administrativa de la ciudad (equivale a las subprefecturas). La fila «MSP» es el total del municipio, no una zona.</t>
  </si>
  <si>
    <t>Pinheiros</t>
  </si>
  <si>
    <t>31 zonas y «MSP» (verificar el número real)</t>
  </si>
  <si>
    <t>idhm</t>
  </si>
  <si>
    <t>IDHM</t>
  </si>
  <si>
    <t>Índice general de desarrollo humano de la zona, de 0 a 1; combina ingreso, salud y educación.</t>
  </si>
  <si>
    <t>Índice 0–1</t>
  </si>
  <si>
    <t>CSV</t>
  </si>
  <si>
    <t>São Paulo (Área Metropolitana)</t>
  </si>
  <si>
    <t>0,593 a 0,942</t>
  </si>
  <si>
    <t>2023 - 2026</t>
  </si>
  <si>
    <t>Búsqueda manual en el portal oficial de la Alcaldía de São Paulo y SPTrans.</t>
  </si>
  <si>
    <t>Los reportes están divididos por días, fue necesario agrupar los datos en totales mensuales para cruzar la información.</t>
  </si>
  <si>
    <t>idhm_renda</t>
  </si>
  <si>
    <t>IDHM Renda</t>
  </si>
  <si>
    <t>Índice de ingreso de la zona (0 a 1); más alto significa mayor ingreso relativo. No son reales.</t>
  </si>
  <si>
    <t>Temperatura minima promedio del aire en el municipio de Sao Paulo</t>
  </si>
  <si>
    <t>https://prefeitura.sp.gov.br/documents/d/licenciamento/2025_temp_media_minima_1933_2025</t>
  </si>
  <si>
    <t>0,645 a 1,000</t>
  </si>
  <si>
    <t>F08</t>
  </si>
  <si>
    <t>[archivo_f08]</t>
  </si>
  <si>
    <t>codigo_municipio</t>
  </si>
  <si>
    <t>localidade.id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</si>
  <si>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</si>
  <si>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 xml:space="preserve">  · integradas al lago</t>
  </si>
  <si>
    <t>Indice de Desarrollo Humano Municipal (IDHM) Municipio de Sao Paulo y Subprefecturas</t>
  </si>
  <si>
    <t>Código de 7 dígitos con que IBGE identifica al municipio; sirve para cruzar con otras bases de IBGE.</t>
  </si>
  <si>
    <t>https://www.prefeitura.sp.gov.br/cidade/secretarias/upload/urbanismo/infocidade/tabelas/7_Indice_de_desenvolvimento_humano_municip_2000_10962.xls</t>
  </si>
  <si>
    <t>5.571 códigos únicos</t>
  </si>
  <si>
    <t>Se extrajo del JSON anidado</t>
  </si>
  <si>
    <t>municipio</t>
  </si>
  <si>
    <t>localidade.nombre</t>
  </si>
  <si>
    <t>Nombre del municipio y sigla del estado.</t>
  </si>
  <si>
    <t xml:space="preserve">  · candidatas</t>
  </si>
  <si>
    <t>São Paulo - SP</t>
  </si>
  <si>
    <t>Los de IBGE</t>
  </si>
  <si>
    <t>Se limpiaron saltos de línea dentro de los nombres</t>
  </si>
  <si>
    <t>poblacion_estimada_2021</t>
  </si>
  <si>
    <t>serie → «2021»</t>
  </si>
  <si>
    <t>Habitantes que IBGE estimó (no contó) para ese municipio en 2021.</t>
  </si>
  <si>
    <t>771 a 12.396.372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</si>
  <si>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</si>
  <si>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Texto convertido a entero; «...» pasó a vacío</t>
  </si>
  <si>
    <t>F11</t>
  </si>
  <si>
    <t>Municipio de Sao Paulo y Subprefecturas</t>
  </si>
  <si>
    <t>[archivo_f11]</t>
  </si>
  <si>
    <t>2000 y 2010</t>
  </si>
  <si>
    <t>encabezados 2011 … 2024</t>
  </si>
  <si>
    <t>Año al que corresponde la cifra.</t>
  </si>
  <si>
    <t xml:space="preserve">  · que no responden</t>
  </si>
  <si>
    <t>2011 a 2024</t>
  </si>
  <si>
    <t>El año pasó de columna a fila</t>
  </si>
  <si>
    <t>Población estimada de São Paulo (API de Agregados del IBGE)</t>
  </si>
  <si>
    <t>IBGE</t>
  </si>
  <si>
    <t>unidad_territorial</t>
  </si>
  <si>
    <t>Unidades Territoriais</t>
  </si>
  <si>
    <t>Nombre del distrito, la subprefeitura, el total del municipio o una de las dos líneas especiales.</t>
  </si>
  <si>
    <t>https://servicodados.ibge.gov.br/api/v3/agregados/6579/periodos/2021/variaveis/9324?localidades=N6</t>
  </si>
  <si>
    <t xml:space="preserve">  · que no existen (inventadas por la IA)</t>
  </si>
  <si>
    <t>Itaim Bibi</t>
  </si>
  <si>
    <t>Los nombres de la fuente</t>
  </si>
  <si>
    <t>Se quitó el prefijo «Subprefeitura»</t>
  </si>
  <si>
    <t>nivel</t>
  </si>
  <si>
    <t>no existe en la fuente</t>
  </si>
  <si>
    <t>Qué tipo de unidad es la fila, para no sumar niveles distintos.</t>
  </si>
  <si>
    <t>distrito</t>
  </si>
  <si>
    <t>municipio, subprefeitura, distrito, invalidos, no_localizados</t>
  </si>
  <si>
    <t>Se creó a partir de la estructura de la tabla</t>
  </si>
  <si>
    <t>establecimientos_formales</t>
  </si>
  <si>
    <t>Establecimientos con registro formal (RAIS) en la unidad ese año. No son empleos ni empresas.</t>
  </si>
  <si>
    <t>3 a 353.243 (en distritos, 15 a 32.599)</t>
  </si>
  <si>
    <t>Se quitaron los espacios; la celda vacía se dejó vacía</t>
  </si>
  <si>
    <t>F12</t>
  </si>
  <si>
    <t>[archivo_f12]</t>
  </si>
  <si>
    <t xml:space="preserve">  · descartadas</t>
  </si>
  <si>
    <t>Fuentes con licencia «no declara» o vacía</t>
  </si>
  <si>
    <t>São Paulo (Ciudad)</t>
  </si>
  <si>
    <t>2010 a 2024</t>
  </si>
  <si>
    <t>empleos_formales</t>
  </si>
  <si>
    <t>Empleos formales registrados (RAIS) en los establecimientos ubicados en esa unidad ese año. Mide dónde está el empleo, no dónde vive la gente que lo ocupa.</t>
  </si>
  <si>
    <t>Búsqueda manual navegando por las categorías del Portal de Dados Abertos.</t>
  </si>
  <si>
    <t>Contiene las coordenadas espaciales de los equipamientos. Útil para hacer mapas y cruzar con la densidad de población.</t>
  </si>
  <si>
    <t>Empleos</t>
  </si>
  <si>
    <t>F09</t>
  </si>
  <si>
    <t>API Olho Vivo / GTFS de SPTrans</t>
  </si>
  <si>
    <t>SPTrans</t>
  </si>
  <si>
    <t>143 a 5.390.446 (en distritos, 60 a 807.143)</t>
  </si>
  <si>
    <t>Se pasó de ancho a largo; mismos pasos que F11</t>
  </si>
  <si>
    <t>F13, F14, F15</t>
  </si>
  <si>
    <t>https://www.sptrans.com.br/desenvolvedores/api-do-olho-vivo-guia-de-referencia/</t>
  </si>
  <si>
    <t>[archivo_f13_f15]</t>
  </si>
  <si>
    <t>título de cada tabla (2022, 2023, 2024)</t>
  </si>
  <si>
    <t>Fuentes con personas identificables o texto libre</t>
  </si>
  <si>
    <t>Año al que corresponden las cifras.</t>
  </si>
  <si>
    <t>2022 a 2024</t>
  </si>
  <si>
    <t>Se agregó como columna, porque en la fuente solo aparece en el título</t>
  </si>
  <si>
    <t>Nombre del distrito, la subprefeitura, el total del municipio o una línea especial.</t>
  </si>
  <si>
    <t>Pari</t>
  </si>
  <si>
    <t>Los de la fuente</t>
  </si>
  <si>
    <t>Campos en el diccionario</t>
  </si>
  <si>
    <t>Tipo de unidad de la fila, para no sumar niveles distintos.</t>
  </si>
  <si>
    <t>API con llave gratuita</t>
  </si>
  <si>
    <t>empleos_masculino</t>
  </si>
  <si>
    <t>Tiempo real (2026)</t>
  </si>
  <si>
    <t>Masculino</t>
  </si>
  <si>
    <t>Empleos formales ocupados por hombres en los establecimientos de la unidad, en el año de anio.</t>
  </si>
  <si>
    <t>Tiempo real</t>
  </si>
  <si>
    <t xml:space="preserve">  · clasificados como sensibles o dato personal</t>
  </si>
  <si>
    <t>Se le pidió a la IA una fuente oficial para movilidad en tiempo real en São Paulo.</t>
  </si>
  <si>
    <t>Requiere programar la autenticación de un token y actualizar la llave diariamente. Se deja como candidata para futuras expansiones del lago</t>
  </si>
  <si>
    <t>65 a 2.826.408 (en distritos, 345 a 279.006)</t>
  </si>
  <si>
    <t>F10</t>
  </si>
  <si>
    <t>Tráfego mensal do Portal de Dados Abertos</t>
  </si>
  <si>
    <t>Se unieron las tablas de 2022, 2023 y 2024</t>
  </si>
  <si>
    <t>CGM São Paulo</t>
  </si>
  <si>
    <t>empleos_femenino</t>
  </si>
  <si>
    <t>https://dados.prefeitura.sp.gov.br/dataset/dados-de-acesso-portal-da-transparencia-e-portal-de-dados-abertos</t>
  </si>
  <si>
    <t>Feminino</t>
  </si>
  <si>
    <t>Empleos formales ocupados por mujeres en los establecimientos de la unidad, en el año de anio.</t>
  </si>
  <si>
    <t>78 a 2.564.036 (en distritos, 500 a 247.715)</t>
  </si>
  <si>
    <t xml:space="preserve">  · sin pregunta del sistema asociada</t>
  </si>
  <si>
    <t>F16, F17</t>
  </si>
  <si>
    <t>[archivo_f16_f17]</t>
  </si>
  <si>
    <t>título de cada tabla (2023, 2024)</t>
  </si>
  <si>
    <t>2023 a 2024</t>
  </si>
  <si>
    <t>Encargos a la IA registrados</t>
  </si>
  <si>
    <t>Descartada</t>
  </si>
  <si>
    <t>Explorando la sección de datasets más visitados del portal oficial.</t>
  </si>
  <si>
    <t>Descartada por ser un dato viejo. El registro dejó de actualizarse hace años y no refleja el uso actual de datos de la ciudad.</t>
  </si>
  <si>
    <t xml:space="preserve">  · con respuesta incorrecta o inventada</t>
  </si>
  <si>
    <t>Trabajo: Establecimientos formales, Municipio de São Paulo, subprefecturas y distritos municipales</t>
  </si>
  <si>
    <t>https://prefeitura.sp.gov.br/documents/d/licenciamento/2026-06-08_a_estabelecimentos_2011_2024-1-</t>
  </si>
  <si>
    <t>raza_color</t>
  </si>
  <si>
    <t>encabezados Amarela, Branca, Indígena, Parda, Preta, Não identificada</t>
  </si>
  <si>
    <t>Raza o color del trabajador. Es la categoría registrada en el empleo; «no identificada» significa que el dato no se obtuvo.</t>
  </si>
  <si>
    <t>Parda</t>
  </si>
  <si>
    <t>amarela, branca, indigena, parda, preta, nao_identificada</t>
  </si>
  <si>
    <t>Sensible</t>
  </si>
  <si>
    <t>Las seis columnas pasaron a una fila por categoría</t>
  </si>
  <si>
    <t>empleos</t>
  </si>
  <si>
    <t>celdas de cada categoría</t>
  </si>
  <si>
    <t>Empleos formales de esa categoría en la unidad ese año.</t>
  </si>
  <si>
    <t>Porcentaje de aciertos plenos de la IA</t>
  </si>
  <si>
    <t>0 a 2.783.918 (en distritos, 1 a 304.413)</t>
  </si>
  <si>
    <t>Se pasó de ancho a largo</t>
  </si>
  <si>
    <t>F18, F19, F20</t>
  </si>
  <si>
    <t>[archivo_f18_f20]</t>
  </si>
  <si>
    <t>título de cada tabla</t>
  </si>
  <si>
    <t>Año de los nacimientos.</t>
  </si>
  <si>
    <t>XLSX</t>
  </si>
  <si>
    <t>2023 a 2025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</si>
  <si>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</si>
  <si>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Municipio de Sao Paulo, Subprefeituras y Distritos Municipais</t>
  </si>
  <si>
    <t>2011 - 2024</t>
  </si>
  <si>
    <t>Nombre del distrito, la subprefeitura, el total del municipio o la fila sin ubicación.</t>
  </si>
  <si>
    <t>Grajaú</t>
  </si>
  <si>
    <t>Los de la fuente, ya limpios</t>
  </si>
  <si>
    <t>Se corrigieron «Moóca» y los espacios sobrantes</t>
  </si>
  <si>
    <t>Empleos formales, Municipio de São Paulo, subprefecturas y distritos municipales</t>
  </si>
  <si>
    <t>Tipo de unidad, deducido por la posición de la fila.</t>
  </si>
  <si>
    <t>municipio, subprefeitura, distrito, sin_ubicacion</t>
  </si>
  <si>
    <t>https://prefeitura.sp.gov.br/documents/d/licenciamento/2026-06-08_b_empregos_2011_2024-1-</t>
  </si>
  <si>
    <t>Se creó a partir del orden de las filas</t>
  </si>
  <si>
    <t>tipo_parto</t>
  </si>
  <si>
    <t>Vaginal, Cesário, Ignorado</t>
  </si>
  <si>
    <t>Cómo fue el parto; «ignorado» significa que no se registró.</t>
  </si>
  <si>
    <t>cesarea</t>
  </si>
  <si>
    <t>vaginal, cesarea, ignorado</t>
  </si>
  <si>
    <t>Las tres columnas pasaron a una fila por tipo</t>
  </si>
  <si>
    <t>nacidos_vivos</t>
  </si>
  <si>
    <t>celdas de cada tipo</t>
  </si>
  <si>
    <t>Nacidos vivos con ese tipo de parto en la unidad ese año.</t>
  </si>
  <si>
    <t>Nacimientos</t>
  </si>
  <si>
    <t>0 a 78.096 (en distritos, 0 a 2.676)</t>
  </si>
  <si>
    <t>F21</t>
  </si>
  <si>
    <t>[archivo_f21]</t>
  </si>
  <si>
    <t>encabezados 2003 … 2025</t>
  </si>
  <si>
    <t>Año al que corresponde el conteo.</t>
  </si>
  <si>
    <t>2003 a 2025</t>
  </si>
  <si>
    <t>P1, P2</t>
  </si>
  <si>
    <t>Nombre del distrito, la subprefeitura o el total del municipio.</t>
  </si>
  <si>
    <t>Sapopemba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</si>
  <si>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</si>
  <si>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Se unificaron los nombres</t>
  </si>
  <si>
    <t>2012 - 2024</t>
  </si>
  <si>
    <t>municipio, subprefeitura, distrito</t>
  </si>
  <si>
    <t>F13</t>
  </si>
  <si>
    <t>Empleos formales, por genero, Municipio de São Paulo, subprefecturas y distritos municipales (2024)</t>
  </si>
  <si>
    <t>tipo_equipamiento</t>
  </si>
  <si>
    <t>Feiras, Mercados, Sacolões</t>
  </si>
  <si>
    <t>Tipo de punto de abastecimiento contado.</t>
  </si>
  <si>
    <t>https://prefeitura.sp.gov.br/documents/d/licenciamento/2026-06-08_10_empregos_sexo_2024-1-</t>
  </si>
  <si>
    <t>feira_livre</t>
  </si>
  <si>
    <t>feira_livre, mercado, sacolao</t>
  </si>
  <si>
    <t>Las tres columnas de cada año pasaron a una fila por tipo</t>
  </si>
  <si>
    <t>cantidad</t>
  </si>
  <si>
    <t>Número de equipamientos de ese tipo en la unidad ese año.</t>
  </si>
  <si>
    <t>Equipamientos</t>
  </si>
  <si>
    <t>0 a 975 (en distritos, hasta unos 25; por verificar)</t>
  </si>
  <si>
    <t>Se pasó de ancho a largo; el «-» se tomó como 0</t>
  </si>
  <si>
    <t>F22, F23, F24</t>
  </si>
  <si>
    <t>[archivo_f22_f24]</t>
  </si>
  <si>
    <t>Año del censo de shoppings.</t>
  </si>
  <si>
    <t>2017, 2021, 2025</t>
  </si>
  <si>
    <t>id_shopping</t>
  </si>
  <si>
    <t>Identificador propio para reconocer el mismo shopping aunque cambie de nombre.</t>
  </si>
  <si>
    <t>shopping_eldorado</t>
  </si>
  <si>
    <t>Uno por shopping</t>
  </si>
  <si>
    <t>Se creó: se unificaron nombres entre años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</si>
  <si>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</si>
  <si>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nombre</t>
  </si>
  <si>
    <t>Nome</t>
  </si>
  <si>
    <t>Nombre del shopping en ese año.</t>
  </si>
  <si>
    <t>Shopping Eldorado</t>
  </si>
  <si>
    <t>Se corrigió el texto dañado</t>
  </si>
  <si>
    <t>subprefeitura</t>
  </si>
  <si>
    <t>Subprefeitura</t>
  </si>
  <si>
    <t>Zona administrativa donde está el shopping.</t>
  </si>
  <si>
    <t>F14</t>
  </si>
  <si>
    <t>Las 32 zonas, con nombres unificados</t>
  </si>
  <si>
    <t>Empleos formales, por genero, Municipio de São Paulo, subprefecturas y distritos municipales (2023)</t>
  </si>
  <si>
    <t>Se unificaron mayúsculas, acentos y guiones; en 2021 se eliminaron las filas repetidas</t>
  </si>
  <si>
    <t>Distrito</t>
  </si>
  <si>
    <t>Distrito donde está el shopping.</t>
  </si>
  <si>
    <t>https://prefeitura.sp.gov.br/documents/d/licenciamento/2026-02-12_10_empregos_sexo_2023-1</t>
  </si>
  <si>
    <t>abl_m2</t>
  </si>
  <si>
    <t>ABL</t>
  </si>
  <si>
    <t>Área interna destinada al alquiler, la medida de tamaño del shopping.</t>
  </si>
  <si>
    <t>m²</t>
  </si>
  <si>
    <t>3.447 a 263.271 (por verificar)</t>
  </si>
  <si>
    <t>Se pasó el formato numérico a punto decimal</t>
  </si>
  <si>
    <t>tiendas</t>
  </si>
  <si>
    <t>Lojas</t>
  </si>
  <si>
    <t>Número de tiendas del shopping.</t>
  </si>
  <si>
    <t>Tiendas</t>
  </si>
  <si>
    <t>43 a 545</t>
  </si>
  <si>
    <t>«NI» pasó a vacío</t>
  </si>
  <si>
    <t>fecha_inauguracion</t>
  </si>
  <si>
    <t>Data de inauguração</t>
  </si>
  <si>
    <t>Día en que abrió el shopping.</t>
  </si>
  <si>
    <t>AAAA-MM-DD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</si>
  <si>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</si>
  <si>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1966 a 2022</t>
  </si>
  <si>
    <t>Se unificó el formato de fecha</t>
  </si>
  <si>
    <t>F25, F26, F27</t>
  </si>
  <si>
    <t>[archivo_f25_f27]</t>
  </si>
  <si>
    <t>F15</t>
  </si>
  <si>
    <t>Año del mapeo. El de 2020 corresponde a imágenes de 2017/2018.</t>
  </si>
  <si>
    <t>Empleos formales, por genero, Municipio de São Paulo, subprefecturas y distritos municipales (2022)</t>
  </si>
  <si>
    <t>2010, 2015, 2020</t>
  </si>
  <si>
    <t>https://prefeitura.sp.gov.br/documents/d/licenciamento/2026-02-12_10_empregos_sexo_2022-1</t>
  </si>
  <si>
    <t>Nombre de la subprefeitura o del total del municipio.</t>
  </si>
  <si>
    <t>Las 32 subprefeituras y el total</t>
  </si>
  <si>
    <t>Se unificaron «PMSP» y «MSP» y los nombres</t>
  </si>
  <si>
    <t>Si la fila es el total del municipio o una subprefeitura, para no sumar ambas.</t>
  </si>
  <si>
    <t>municipio, subprefeitura</t>
  </si>
  <si>
    <t>cobertura_vegetal_m2</t>
  </si>
  <si>
    <t>Cobertura Vegetal (m2)</t>
  </si>
  <si>
    <t>Superficie cubierta de vegetación en la unidad. No es comparable entre años por el método.</t>
  </si>
  <si>
    <t>636.040,88 a 735.994.340,73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</si>
  <si>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</si>
  <si>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Se cambió el formato numérico a punto decimal</t>
  </si>
  <si>
    <t>poblacion</t>
  </si>
  <si>
    <t>População</t>
  </si>
  <si>
    <t>Habitantes de la unidad: censo de 2010, interpolación de 2015 y proyección de Seade de 2020.</t>
  </si>
  <si>
    <t>139.441 a 11.869.660</t>
  </si>
  <si>
    <t>Se quitaron los espacios en la cifra de Sapopemba 2010</t>
  </si>
  <si>
    <t>F16</t>
  </si>
  <si>
    <t>metodo_cobertura</t>
  </si>
  <si>
    <t>Empleos formales, por raza/color, Municipio de São Paulo, subprefecturas y distritos municipales (2024)</t>
  </si>
  <si>
    <t>Cómo se midió la vegetación en ese año.</t>
  </si>
  <si>
    <t>fotointerpretacion_aerea_2017_2018</t>
  </si>
  <si>
    <t>https://prefeitura.sp.gov.br/documents/d/licenciamento/2026-06-08_11_empregos_raca_2024</t>
  </si>
  <si>
    <t>spot_2010, rapideye_2015, fotointerpretacion_aerea_2017_2018</t>
  </si>
  <si>
    <t>Se creó a partir de las notas al pie de cada tabla</t>
  </si>
  <si>
    <t>F28</t>
  </si>
  <si>
    <t>[archivo_f28]</t>
  </si>
  <si>
    <t>ANO</t>
  </si>
  <si>
    <t>Año del corte (enero) en que se tomó el registro del catastro.</t>
  </si>
  <si>
    <t>1995 a 2025</t>
  </si>
  <si>
    <t>Se quitaron las marcas de nota pegadas a 2019 y 2021 («2019²», «2021³»)</t>
  </si>
  <si>
    <t>area_residencial_m2</t>
  </si>
  <si>
    <t>ÁREA (m²)</t>
  </si>
  <si>
    <t>Superficie construida de uso residencial registrada en el catastro del IPTU para toda la ciudad.</t>
  </si>
  <si>
    <t>210.590.334 a 396.419.705</t>
  </si>
  <si>
    <t>Se quitaron los puntos de miles</t>
  </si>
  <si>
    <t>F29</t>
  </si>
  <si>
    <t>[archivo_f29]</t>
  </si>
  <si>
    <t>cd_linha_geometria</t>
  </si>
  <si>
    <t>Código de la línea; se une con F05 quitando el guion (por verificar).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</si>
  <si>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</si>
  <si>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F17</t>
  </si>
  <si>
    <t>Empleos formales, por raza/color, Municipio de São Paulo, subprefecturas y distritos municipales (2023)</t>
  </si>
  <si>
    <t>1012-10</t>
  </si>
  <si>
    <t>https://prefeitura.sp.gov.br/documents/d/licenciamento/2026-06-08_11_empregos_raca_2023-1-</t>
  </si>
  <si>
    <t>nombre_recorrido</t>
  </si>
  <si>
    <t>nm_linha_onibus_geometria</t>
  </si>
  <si>
    <t>Origen y destino de la línea. Está cortado a unos 30 caracteres.</t>
  </si>
  <si>
    <t>CEM. DO HORTO - SHOP. CENTER</t>
  </si>
  <si>
    <t>Se corrigió la codificación del texto</t>
  </si>
  <si>
    <t>sentido</t>
  </si>
  <si>
    <t>sentido_linha_onibus</t>
  </si>
  <si>
    <t>Hacia dónde va la fila: del barrio al centro o del centro al barrio.</t>
  </si>
  <si>
    <t>BAIRRO-CENTRO</t>
  </si>
  <si>
    <t>BAIRRO-CENTRO, CENTRO-BAIRRO</t>
  </si>
  <si>
    <t>Se descartó el código numérico, que repite el texto</t>
  </si>
  <si>
    <t>hora_primera_salida</t>
  </si>
  <si>
    <t>ho_primeira_viagem</t>
  </si>
  <si>
    <t>Hora de la primera salida del día.</t>
  </si>
  <si>
    <t>Hora</t>
  </si>
  <si>
    <t>HH:MM:SS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</si>
  <si>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</si>
  <si>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Muestra: 03:20 a 05:30</t>
  </si>
  <si>
    <t>Se unificaron las comillas</t>
  </si>
  <si>
    <t>hora_ultima_salida</t>
  </si>
  <si>
    <t>ho_ultima_viagem</t>
  </si>
  <si>
    <t>F18</t>
  </si>
  <si>
    <t>Hora de la última salida; si es menor que la primera, es del día siguiente.</t>
  </si>
  <si>
    <t>Nacimientos vivos y tipo de parto, Municipio de São Paulo, subprefecturas y distritos municipales (2025)</t>
  </si>
  <si>
    <t>Muestra: 21:00 a 01:05</t>
  </si>
  <si>
    <t>https://prefeitura.sp.gov.br/documents/d/licenciamento/tabela-nascidos-vivos-e-tipo-de-parto-2025-1</t>
  </si>
  <si>
    <t>operador</t>
  </si>
  <si>
    <t>nm_empresa_metro_trem</t>
  </si>
  <si>
    <t>Empresa de bus que opera la línea.</t>
  </si>
  <si>
    <t>NORTE BUSS S.A.</t>
  </si>
  <si>
    <t>Los de la fuente (a veces cortado)</t>
  </si>
  <si>
    <t>Se conservó este campo y se descartó el código duplicado</t>
  </si>
  <si>
    <t>F30</t>
  </si>
  <si>
    <t>[archivo_f30]</t>
  </si>
  <si>
    <t>codigo_parada</t>
  </si>
  <si>
    <t>cd_identificador_ponto_onibus</t>
  </si>
  <si>
    <t>Código de la parada en el sistema de SPTrans.</t>
  </si>
  <si>
    <t>6 a 9 dígitos</t>
  </si>
  <si>
    <t>Se guardó como texto</t>
  </si>
  <si>
    <t>calle_numero</t>
  </si>
  <si>
    <t>nm_ponto_onibus</t>
  </si>
  <si>
    <t>Calle y número donde está la parada; «0» en los terminales significa sin número.</t>
  </si>
  <si>
    <t>AV. FAGUNDES FILHO , 900</t>
  </si>
  <si>
    <t>Se corrigió la codificación y se quitaron los espacios</t>
  </si>
  <si>
    <t>referencia_cruce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</si>
  <si>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</si>
  <si>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tx_endereco_ponto_onibus</t>
  </si>
  <si>
    <t>Calles que se cruzan en la parada, o una referencia del lugar.</t>
  </si>
  <si>
    <t>R GUSTAVO NARKEVITZ/ R SEBASTIAO GUIMARAES CORREA</t>
  </si>
  <si>
    <t>F31</t>
  </si>
  <si>
    <t>[archivo_f31]</t>
  </si>
  <si>
    <t>F19</t>
  </si>
  <si>
    <t>cd_identificador_linha</t>
  </si>
  <si>
    <t>Número de la línea de tren (7 a 13). Se repite en cada tramo.</t>
  </si>
  <si>
    <t>Nacimientos vivos y tipo de parto, Municipio de São Paulo, subprefecturas y distritos municipales (2024)</t>
  </si>
  <si>
    <t>7 a 13</t>
  </si>
  <si>
    <t>https://prefeitura.sp.gov.br/documents/d/licenciamento/nascidos-vivos-e-tipo-de-parto-2024</t>
  </si>
  <si>
    <t>nm_linha_metro_trem</t>
  </si>
  <si>
    <t>Nombre de color de la línea.</t>
  </si>
  <si>
    <t>ESMERALDA</t>
  </si>
  <si>
    <t>Rubi, Safira, Turquesa, Esmeralda, Coral, Jade, Diamante</t>
  </si>
  <si>
    <t>Empresa que opera la línea según el archivo.</t>
  </si>
  <si>
    <t>VIAMOBILIDADE</t>
  </si>
  <si>
    <t>CPTM, VIAMOBILIDADE</t>
  </si>
  <si>
    <t>Se descartó el código numérico duplicado</t>
  </si>
  <si>
    <t>F32</t>
  </si>
  <si>
    <t>[archivo_f32]</t>
  </si>
  <si>
    <t>id_favela</t>
  </si>
  <si>
    <t>uuid_id</t>
  </si>
  <si>
    <t>Identificador único del asentamiento, para unirlo con su polígono.</t>
  </si>
  <si>
    <t>3f7a401b-31c2-4170-a033-69ba8425103c</t>
  </si>
  <si>
    <t>Uno por asentamiento</t>
  </si>
  <si>
    <t>Se descartaron id y gid, que repiten el número de fila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</si>
  <si>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</si>
  <si>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nome</t>
  </si>
  <si>
    <t>Nombre con que se conoce el asentamiento.</t>
  </si>
  <si>
    <t>FAVELA DA PAZ</t>
  </si>
  <si>
    <t>Se corrigió la codificación</t>
  </si>
  <si>
    <t>F20</t>
  </si>
  <si>
    <t>Nacimientos vivos y tipo de parto, Municipio de São Paulo, subprefecturas y distritos municipales (2023)</t>
  </si>
  <si>
    <t>ubicacion_texto</t>
  </si>
  <si>
    <t>localizacao</t>
  </si>
  <si>
    <t>https://www.prefeitura.sp.gov.br/cidade/secretarias/upload/tabela%20nascidos%20vivos%20tipo%20de%20parto%202023.xlsx</t>
  </si>
  <si>
    <t>Calles o referencia donde está el asentamiento.</t>
  </si>
  <si>
    <t>RUA GIRASOL</t>
  </si>
  <si>
    <t>domicilios</t>
  </si>
  <si>
    <t>tot_domicilio</t>
  </si>
  <si>
    <t>Número de domicilios del asentamiento. No se sabe si es un censo o una estimación.</t>
  </si>
  <si>
    <t>Domicilios</t>
  </si>
  <si>
    <t>Muestra: 3 a 1.007</t>
  </si>
  <si>
    <t>area_m2</t>
  </si>
  <si>
    <t>areageo_m2</t>
  </si>
  <si>
    <t>Superficie del asentamiento, calculada desde el polígono.</t>
  </si>
  <si>
    <t>Muestra: 441,73 a 67.030,96</t>
  </si>
  <si>
    <t>anio_implantacion</t>
  </si>
  <si>
    <t>anoimplant</t>
  </si>
  <si>
    <t>Año en que se implantó el asentamiento.</t>
  </si>
  <si>
    <t>Muestra: 1950 a 2023</t>
  </si>
  <si>
    <t>propiedad_terreno</t>
  </si>
  <si>
    <t>propriedade_area</t>
  </si>
  <si>
    <t>Si el terreno es público, privado, ambos o no consta.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</si>
  <si>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</si>
  <si>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Pública, Particular, Pública/Particular, Sem informação</t>
  </si>
  <si>
    <t>F33, F34</t>
  </si>
  <si>
    <t>[archivo_f33_f34]</t>
  </si>
  <si>
    <t>id_equipamiento</t>
  </si>
  <si>
    <t>cd_identificador</t>
  </si>
  <si>
    <t>Número que identifica al equipamiento en la capa. Es estable aunque cambie el nombre.</t>
  </si>
  <si>
    <t>Muestra: 90001 a 90019 y 90047, 90285 a 90297</t>
  </si>
  <si>
    <t>Mercados al aire libre, mercados y mercados municipales, Municipio de São Paulo, subprefecturas y distritos municipales.</t>
  </si>
  <si>
    <t>Se descartó id, que lo repite con un prefijo</t>
  </si>
  <si>
    <t>https://prefeitura.sp.gov.br/documents/d/licenciamento/feiras_livres_mercados_e_sacoloes_munici_2003_2025</t>
  </si>
  <si>
    <t>nm_equipamento</t>
  </si>
  <si>
    <t>Nombre del equipamiento, que a veces incluye el tipo, el homenajeado o el club.</t>
  </si>
  <si>
    <t>NEO QUIMICA ARENA</t>
  </si>
  <si>
    <t>Se unieron las líneas partidas y se corrigió la codificación</t>
  </si>
  <si>
    <t>nm_tipo_equipamento</t>
  </si>
  <si>
    <t>Tipo de equipamiento deportivo.</t>
  </si>
  <si>
    <t>Clube Desportivo com Estádio</t>
  </si>
  <si>
    <t>Centro Esportivo/Centro Educacional e Esportivo - CE/CEE, Centro Esportivo/Balneário, Centro Esportivo/Mini-Balneário, Clube Desportivo com Estádio (por verificar)</t>
  </si>
  <si>
    <t>Se descartaron los códigos y las descripciones repetidas</t>
  </si>
  <si>
    <t>esfera_administrativa</t>
  </si>
  <si>
    <t>nm_esfera_administrativa_equipamento</t>
  </si>
  <si>
    <t>Quién administra el equipamiento según la fuente. «Particular» parece significar «no municipal», no necesariamente privado.</t>
  </si>
  <si>
    <t>Particular</t>
  </si>
  <si>
    <t>Público - Municipal, Particular</t>
  </si>
  <si>
    <t>direccion</t>
  </si>
  <si>
    <t>tx_endereco_equipamento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</si>
  <si>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</si>
  <si>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Calle y número del equipamiento.</t>
  </si>
  <si>
    <t>AV MIGUEL IGNACIO CURI, 111</t>
  </si>
  <si>
    <t>2003 - 2025</t>
  </si>
  <si>
    <t>cep</t>
  </si>
  <si>
    <t>cd_cep_equipamento</t>
  </si>
  <si>
    <t>Código postal del equipamiento; vacío en los centros deportivos de F33.</t>
  </si>
  <si>
    <t>F22</t>
  </si>
  <si>
    <t>Centros comerciales: Ubicacion, año de apertura, numero de tienda y superficie construida (2025)</t>
  </si>
  <si>
    <t>08295-005</t>
  </si>
  <si>
    <t>Se guardó como texto, para conservar el guion</t>
  </si>
  <si>
    <t>https://prefeitura.sp.gov.br/documents/d/licenciamento/shoppings-sp-2025_tabela-1-</t>
  </si>
  <si>
    <t>F35</t>
  </si>
  <si>
    <t>[archivo_f35]</t>
  </si>
  <si>
    <t>Número de la línea en la red de metro y tren.</t>
  </si>
  <si>
    <t>1 a 15 (por verificar)</t>
  </si>
  <si>
    <t>PRATA</t>
  </si>
  <si>
    <t>Azul, Verde, Vermelha, Amarela, Lilás, Prata, Rubi, Safira, Turquesa, Esmeralda, Coral, Jade, Diamante</t>
  </si>
  <si>
    <t>Se corrigió «LILAS» a «LILÁS»</t>
  </si>
  <si>
    <t>VIAQUATRO</t>
  </si>
  <si>
    <t>Metrô, ViaQuatro, ViaMobilidade, CPTM</t>
  </si>
  <si>
    <t>Se descartó el código numérico y se unificaron las mayúsculas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</si>
  <si>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</si>
  <si>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modo</t>
  </si>
  <si>
    <t>Si la línea es de metro o de tren metropolitano.</t>
  </si>
  <si>
    <t>metro</t>
  </si>
  <si>
    <t>Eventual/Anual</t>
  </si>
  <si>
    <t>metro, tren</t>
  </si>
  <si>
    <t>Se creó: F35 son líneas de Metrô y F31 son líneas de tren</t>
  </si>
  <si>
    <t>F36</t>
  </si>
  <si>
    <t>F23</t>
  </si>
  <si>
    <t>[archivo_f36]</t>
  </si>
  <si>
    <t>id_estacion</t>
  </si>
  <si>
    <t>Centros comerciales: Ubicacion, año de apertura, numero de tienda y superficie construida (2021)</t>
  </si>
  <si>
    <t>Número que identifica la estación en la capa.</t>
  </si>
  <si>
    <t>https://www.prefeitura.sp.gov.br/cidade/secretarias/upload/16_shopping_centers__localizacao_2021.xls</t>
  </si>
  <si>
    <t>Muestra: 1 a 25</t>
  </si>
  <si>
    <t>nombre_estacion</t>
  </si>
  <si>
    <t>nm_estacao_metro_trem</t>
  </si>
  <si>
    <t>Nombre de la estación.</t>
  </si>
  <si>
    <t>SÉ</t>
  </si>
  <si>
    <t>Número de la línea; se une con el de F35.</t>
  </si>
  <si>
    <t>Muestra: 2 y 3</t>
  </si>
  <si>
    <t>situacion</t>
  </si>
  <si>
    <t>tx_situacao_metro_trem</t>
  </si>
  <si>
    <t>Si la estación está operando, en obra o planeada.</t>
  </si>
  <si>
    <t>OPERANDO</t>
  </si>
  <si>
    <t>En la muestra, solo «OPERANDO» (por verificar)</t>
  </si>
  <si>
    <t>F38</t>
  </si>
  <si>
    <t>[archivo_f38]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</si>
  <si>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</si>
  <si>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F24</t>
  </si>
  <si>
    <t>Centros comerciales: Ubicacion, año de apertura, numero de tienda y superficie construida (2017)</t>
  </si>
  <si>
    <t>https://www.prefeitura.sp.gov.br/cidade/secretarias/upload/16_shopping_centers__localizacao_2017.xls</t>
  </si>
  <si>
    <t>Número que identifica al equipamiento en su capa; es estable aunque cambie el nombre.</t>
  </si>
  <si>
    <t>Muestra: 40228–40250, 90001–90019, 90047, 90285–90297</t>
  </si>
  <si>
    <t>Se descartó id</t>
  </si>
  <si>
    <t>tema</t>
  </si>
  <si>
    <t>nm_tema_equipamento</t>
  </si>
  <si>
    <t>Área a la que pertenece el equipamiento.</t>
  </si>
  <si>
    <t>CULTURA</t>
  </si>
  <si>
    <t>ESPORTE, CULTURA</t>
  </si>
  <si>
    <t>Se unieron las capas de deporte y cultura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</si>
  <si>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</si>
  <si>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Tipo de equipamiento.</t>
  </si>
  <si>
    <t>Museu</t>
  </si>
  <si>
    <t>F25</t>
  </si>
  <si>
    <t>Fauna y flora: Cobertura vegetal, Municipio de São Paulo, subprefecturas y distritos municipales. (2020)</t>
  </si>
  <si>
    <t>Centro Esportivo (CEE, balneario, mini-balneario), Clube Desportivo com Estádio, Museu</t>
  </si>
  <si>
    <t>Se descartaron códigos y descripciones repetidas</t>
  </si>
  <si>
    <t>https://www.prefeitura.sp.gov.br/cidade/secretarias/upload/chamadas/2_cobertura_vegetal_2020_60_1679319826.xls</t>
  </si>
  <si>
    <t>Nombre del equipamiento, que puede incluir tipo, homenajeado, club o estado.</t>
  </si>
  <si>
    <t>Instituto Tomie Ohtake</t>
  </si>
  <si>
    <t>Quién administra el equipamiento. «Particular» parece significar «no público».</t>
  </si>
  <si>
    <t>Estadual</t>
  </si>
  <si>
    <t>Municipal, Estadual, Federal, Particular</t>
  </si>
  <si>
    <t>Se unificó «Público - Municipal» con «Municipal»</t>
  </si>
  <si>
    <t>Rua dos Coropés, 88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</si>
  <si>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</si>
  <si>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Municipio de Sao Paulo y Subprefeituras</t>
  </si>
  <si>
    <t>Eventual/Quinquenal</t>
  </si>
  <si>
    <t>Código postal; en algunos casos es el de la sede de una red y no el del edificio.</t>
  </si>
  <si>
    <t>05426-010</t>
  </si>
  <si>
    <t>F26</t>
  </si>
  <si>
    <t>Fauna y flora: Cobertura vegetal, Municipio de São Paulo, subprefecturas y distritos municipales. (2015)</t>
  </si>
  <si>
    <t>Se guardó como texto, restituyendo el cero inicial</t>
  </si>
  <si>
    <t>https://www.prefeitura.sp.gov.br/cidade/secretarias/upload/licenciamento/2_cobertura_vegetal_2015_60.xls</t>
  </si>
  <si>
    <t>estado_operacion</t>
  </si>
  <si>
    <t>Si el equipamiento está abierto o cerrado temporalmente.</t>
  </si>
  <si>
    <t>cerrado_temporalmente</t>
  </si>
  <si>
    <t>abierto, cerrado_temporalmente</t>
  </si>
  <si>
    <t>Se creó a partir del texto «(fechado temporariamente)» en el nombre</t>
  </si>
  <si>
    <t>F39, F40</t>
  </si>
  <si>
    <t>[archivo_f39_f40]</t>
  </si>
  <si>
    <t>codigo_equipamento</t>
  </si>
  <si>
    <t>cd_equipamento</t>
  </si>
  <si>
    <t>Código de la escuela en el sistema de educación; es el identificador estable.</t>
  </si>
  <si>
    <t>Muestra: 35000012 a 35003384, 8 dígitos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</si>
  <si>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</si>
  <si>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Nombre de la escuela, con el título del homenajeado al final («AYRES DE MOURA PROFESSOR»). Todas son del tipo «EE» (escuela de enseñanza fundamental y media; significado por verificar) y figuran como red municipal.</t>
  </si>
  <si>
    <t>F27</t>
  </si>
  <si>
    <t>Fauna y flora: Cobertura vegetal, Municipio de São Paulo, subprefecturas y distritos municipales. (2010)</t>
  </si>
  <si>
    <t>CARAMURU</t>
  </si>
  <si>
    <t>https://www.prefeitura.sp.gov.br/cidade/secretarias/upload/licenciamento/2_cobertura_vegetal_2010_60.xls</t>
  </si>
  <si>
    <t>Se corrigieron las mayúsculas y los espacios</t>
  </si>
  <si>
    <t>Calle y número, sin el tipo de vía; «SN» significa sin número.</t>
  </si>
  <si>
    <t>REGO BARROS, 501</t>
  </si>
  <si>
    <t>barrio</t>
  </si>
  <si>
    <t>nm_bairro_equipamento</t>
  </si>
  <si>
    <t>Barrio según el registro de la fuente; no es un distrito oficial.</t>
  </si>
  <si>
    <t>JARDIM VILA FORMOSA</t>
  </si>
  <si>
    <t>Código postal de la zona de la escuela; no identifica el edificio.</t>
  </si>
  <si>
    <t>03460-000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</si>
  <si>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</si>
  <si>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F41</t>
  </si>
  <si>
    <t>[archivo_f41]</t>
  </si>
  <si>
    <t>codigo_sector</t>
  </si>
  <si>
    <t>cd_setor_censitario_densidade</t>
  </si>
  <si>
    <t>Código de 15 dígitos del sector censal del censo 2022.</t>
  </si>
  <si>
    <t>15 dígitos, que empiezan por 3550308</t>
  </si>
  <si>
    <t>Se guardó como texto y se descartaron las columnas repetidas</t>
  </si>
  <si>
    <t>Area construida residencial segun IPTU-EG/TPCL</t>
  </si>
  <si>
    <t>codigo_distrito</t>
  </si>
  <si>
    <t>https://prefeitura.sp.gov.br/documents/d/licenciamento/area_construida_residencial_1995_2025-1-</t>
  </si>
  <si>
    <t>Código del distrito, tomado de los dígitos 8 y 9 del código del sector.</t>
  </si>
  <si>
    <t>Muestra: 07 a 92</t>
  </si>
  <si>
    <t>Se creó a partir del código del sector (por verificar)</t>
  </si>
  <si>
    <t>qt_domicilio</t>
  </si>
  <si>
    <t>Domicilios del sector; probablemente incluye viviendas vacías (por verificar).</t>
  </si>
  <si>
    <t>Muestra: 0 a 342</t>
  </si>
  <si>
    <t>qt_populacao</t>
  </si>
  <si>
    <t>Habitantes del sector en el censo 2022.</t>
  </si>
  <si>
    <t>Muestra: 0 a 660</t>
  </si>
  <si>
    <r>
      <rPr>
        <rFont val="Arial"/>
        <b/>
        <color theme="1"/>
        <sz val="10.0"/>
      </rPr>
      <t>no declara</t>
    </r>
    <r>
      <rPr>
        <rFont val="Arial"/>
        <color theme="1"/>
        <sz val="10.0"/>
      </rPr>
      <t xml:space="preserve"> </t>
    </r>
    <r>
      <rPr>
        <rFont val="Arial"/>
        <i/>
        <color rgb="FF666666"/>
        <sz val="10.0"/>
      </rPr>
      <t>(Uso publico (Ley de datos abiertos / LAI Brasil) - Sin licencia CC explicita en el archivo.)</t>
    </r>
  </si>
  <si>
    <t>qt_area_setor_censitario</t>
  </si>
  <si>
    <t>Superficie del sector.</t>
  </si>
  <si>
    <t>1995 - 2025</t>
  </si>
  <si>
    <t>Muestra: 1.289 a 29.276</t>
  </si>
  <si>
    <t>Se descartó la columna en hectáreas, que es lo mismo</t>
  </si>
  <si>
    <t>Líneas de autobús</t>
  </si>
  <si>
    <t>SPTrans (geosampa)</t>
  </si>
  <si>
    <t>indice_vulnerabilidad</t>
  </si>
  <si>
    <t>cd_indice_vulnerabilidade_social</t>
  </si>
  <si>
    <t>Índice de vulnerabilidad social del sector; la escala y la definición faltan.</t>
  </si>
  <si>
    <t>https://metadados.geosampa.prefeitura.sp.gov.br/geonetwork/srv/por/catalog.search#/metadata/a9620922-1f1a-474f-ae67-a6c961e0864d</t>
  </si>
  <si>
    <t>Categoría</t>
  </si>
  <si>
    <t>Muestra: 1, 2, 3, 5</t>
  </si>
  <si>
    <t>P3</t>
  </si>
  <si>
    <t>GeoJSON</t>
  </si>
  <si>
    <t>Geosampa, Panel de capas → Download → GeoJSON</t>
  </si>
  <si>
    <t>no declara</t>
  </si>
  <si>
    <t>dato operativo actual, no serie histórica</t>
  </si>
  <si>
    <t>Diaria</t>
  </si>
  <si>
    <t>Búsqueda manual en portal oficial GeoSampa</t>
  </si>
  <si>
    <t>El link que proporcionamos es al metadato, porque el archivo geoJSON no genera link por si mismo, toca navegar a geosampa y desde la parte de capas descargarlo.</t>
  </si>
  <si>
    <t>Paradas de autobús</t>
  </si>
  <si>
    <t>https://metadados.geosampa.prefeitura.sp.gov.br/geonetwork/srv/por/catalog.search#/metadata/6f855861-ad76-4905-b3e4-93203ed05b2c</t>
  </si>
  <si>
    <t>Tren Metropolitano - Línea</t>
  </si>
  <si>
    <t>CPTM (geosampa)</t>
  </si>
  <si>
    <t>https://metadados.geosampa.prefeitura.sp.gov.br/geonetwork/srv/por/catalog.search#/metadata/bf6a655a-245e-40b5-9cb3-61666d4a5990</t>
  </si>
  <si>
    <t>No se sabe</t>
  </si>
  <si>
    <t>Favelas</t>
  </si>
  <si>
    <t>SEHAB/HABITASAMPA (geosampa)</t>
  </si>
  <si>
    <t>https://metadados.geosampa.prefeitura.sp.gov.br/geonetwork/srv/por/catalog.search#/metadata/cc8970eb-fbb2-4671-b9aa-0ea7f0faa1d7</t>
  </si>
  <si>
    <t>F33</t>
  </si>
  <si>
    <t>Polideportivo</t>
  </si>
  <si>
    <t xml:space="preserve"> PMSP - SEME (geosampa)</t>
  </si>
  <si>
    <t>https://metadados.geosampa.prefeitura.sp.gov.br/geonetwork/srv/por/catalog.search#/metadata/221201d2-c261-4f8f-baa0-27d87c56e66d</t>
  </si>
  <si>
    <t>F34</t>
  </si>
  <si>
    <t>Estadios</t>
  </si>
  <si>
    <t>https://metadados.geosampa.prefeitura.sp.gov.br/geonetwork/srv/por/catalog.search#/metadata/f6a2d987-a422-4e29-9a89-b7722620999b</t>
  </si>
  <si>
    <t>Metro</t>
  </si>
  <si>
    <t>PMSP - SMUL (geosampa)</t>
  </si>
  <si>
    <t>https://metadados.geosampa.prefeitura.sp.gov.br/geonetwork/srv/por/catalog.search#/metadata/7f9906d5-2f42-498b-bbd9-06ae41096da1</t>
  </si>
  <si>
    <t>Estacion metro</t>
  </si>
  <si>
    <t>STM (geosampa)</t>
  </si>
  <si>
    <t>https://metadados.geosampa.prefeitura.sp.gov.br/geonetwork/srv/por/catalog.search#/metadata/2ddfddf7-f9e1-4c61-bd1a-f9ed78ae948a</t>
  </si>
  <si>
    <t>F37</t>
  </si>
  <si>
    <t xml:space="preserve">Curva maestra
</t>
  </si>
  <si>
    <t>https://metadados.geosampa.prefeitura.sp.gov.br/geonetwork/srv/por/catalog.search#/metadata/0905b1f1-e2d5-4274-8909-feed415f87cf</t>
  </si>
  <si>
    <t>Museos</t>
  </si>
  <si>
    <t>PMSP - SMC (geosampa)</t>
  </si>
  <si>
    <t>https://metadados.geosampa.prefeitura.sp.gov.br/geonetwork/srv/por/catalog.search#/metadata/02aa4efa-c7ca-4a26-9b0e-810528263713</t>
  </si>
  <si>
    <t>La consideramos en un inicio pero no vamos a ponerla en el mapa.</t>
  </si>
  <si>
    <t>F39</t>
  </si>
  <si>
    <t>Educacion en la primera infancia</t>
  </si>
  <si>
    <t>https://metadados.geosampa.prefeitura.sp.gov.br/geonetwork/srv/por/catalog.search#/metadata/b169589b-ec51-4b5c-a944-d5cf6887efdc</t>
  </si>
  <si>
    <t>F40</t>
  </si>
  <si>
    <t xml:space="preserve">Educación primaria y secundaria
</t>
  </si>
  <si>
    <t>https://metadados.geosampa.prefeitura.sp.gov.br/geonetwork/srv/por/catalog.search#/metadata/c6ec4473-7c4b-4f97-8bbf-787c3f7b7055</t>
  </si>
  <si>
    <t xml:space="preserve">Densidad de población 2022
</t>
  </si>
  <si>
    <t>IBGE - CETE (geosampa)</t>
  </si>
  <si>
    <t>https://metadados.geosampa.prefeitura.sp.gov.br/geonetwork/srv/por/catalog.search#/metadata/75b0f795-c31c-4e3c-a1b8-5875e9ef3ae9</t>
  </si>
  <si>
    <t>F42</t>
  </si>
  <si>
    <t>F43</t>
  </si>
  <si>
    <t>F44</t>
  </si>
  <si>
    <t>F45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</si>
</sst>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, m"/>
    <numFmt numFmtId="166" formatCode="yyyy-m"/>
  </numFmts>
  <fonts count="16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i/>
      <sz val="9.0"/>
      <color rgb="FF666666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4.0"/>
      <color rgb="FF000000"/>
      <name val="Arial"/>
    </font>
    <font>
      <sz val="9.0"/>
      <color rgb="FF555555"/>
      <name val="Arial"/>
    </font>
    <font>
      <sz val="10.0"/>
      <color rgb="FF000000"/>
      <name val="Arial"/>
    </font>
    <font>
      <b/>
      <sz val="11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EDEDED"/>
        <bgColor rgb="FFEDEDED"/>
      </patternFill>
    </fill>
    <fill>
      <patternFill patternType="solid">
        <fgColor rgb="FFFFF7CC"/>
        <bgColor rgb="FFFFF7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4" fontId="6" numFmtId="0" xfId="0" applyAlignment="1" applyFill="1" applyFont="1">
      <alignment readingOrder="0" shrinkToFit="0" vertical="top" wrapText="1"/>
    </xf>
    <xf borderId="1" fillId="4" fontId="5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1" fillId="4" fontId="11" numFmtId="0" xfId="0" applyAlignment="1" applyBorder="1" applyFill="1" applyFont="1">
      <alignment readingOrder="0" shrinkToFit="0" vertical="top" wrapText="1"/>
    </xf>
    <xf borderId="2" fillId="4" fontId="9" numFmtId="0" xfId="0" applyAlignment="1" applyBorder="1" applyFill="1" applyFont="1">
      <alignment readingOrder="0" shrinkToFit="0" wrapText="1"/>
    </xf>
    <xf borderId="2" fillId="4" fontId="9" numFmtId="0" xfId="0" applyAlignment="1" applyBorder="1" applyFill="1" applyFont="1">
      <alignment shrinkToFit="0" wrapText="1"/>
    </xf>
    <xf borderId="1" fillId="4" fontId="5" numFmtId="164" xfId="0" applyAlignment="1" applyBorder="1" applyFill="1" applyFont="1" applyNumberFormat="1">
      <alignment readingOrder="0" shrinkToFit="0" vertical="top" wrapText="1"/>
    </xf>
    <xf borderId="1" fillId="4" fontId="12" numFmtId="0" xfId="0" applyAlignment="1" applyBorder="1" applyFill="1" applyFont="1">
      <alignment readingOrder="0" shrinkToFit="0" vertical="top" wrapText="1"/>
    </xf>
    <xf borderId="0" fillId="4" fontId="6" numFmtId="165" xfId="0" applyAlignment="1" applyFill="1" applyFont="1" applyNumberFormat="1">
      <alignment readingOrder="0" shrinkToFit="0" vertical="top" wrapText="1"/>
    </xf>
    <xf borderId="0" fillId="0" fontId="13" numFmtId="0" xfId="0" applyFont="1"/>
    <xf borderId="0" fillId="4" fontId="6" numFmtId="2" xfId="0" applyAlignment="1" applyFill="1" applyFont="1" applyNumberFormat="1">
      <alignment readingOrder="0" shrinkToFit="0" vertical="top" wrapText="1"/>
    </xf>
    <xf borderId="1" fillId="0" fontId="5" numFmtId="0" xfId="0" applyBorder="1" applyFont="1"/>
    <xf borderId="0" fillId="0" fontId="5" numFmtId="0" xfId="0" applyFont="1"/>
    <xf borderId="0" fillId="4" fontId="14" numFmtId="0" xfId="0" applyAlignment="1" applyFill="1" applyFont="1">
      <alignment readingOrder="0" shrinkToFit="0" vertical="top" wrapText="1"/>
    </xf>
    <xf borderId="1" fillId="0" fontId="5" numFmtId="9" xfId="0" applyBorder="1" applyFont="1" applyNumberFormat="1"/>
    <xf borderId="0" fillId="4" fontId="6" numFmtId="164" xfId="0" applyAlignment="1" applyFill="1" applyFont="1" applyNumberFormat="1">
      <alignment readingOrder="0" shrinkToFit="0" vertical="top" wrapText="1"/>
    </xf>
    <xf borderId="0" fillId="4" fontId="6" numFmtId="166" xfId="0" applyAlignment="1" applyFill="1" applyFont="1" applyNumberFormat="1">
      <alignment readingOrder="0" shrinkToFit="0" vertical="top" wrapText="1"/>
    </xf>
    <xf borderId="0" fillId="4" fontId="6" numFmtId="21" xfId="0" applyAlignment="1" applyFill="1" applyFont="1" applyNumberFormat="1">
      <alignment readingOrder="0" shrinkToFit="0" vertical="top" wrapText="1"/>
    </xf>
    <xf borderId="0" fillId="0" fontId="15" numFmtId="0" xfId="0" applyAlignment="1" applyFont="1">
      <alignment horizontal="center" readingOrder="0"/>
    </xf>
    <xf borderId="0" fillId="0" fontId="6" numFmtId="164" xfId="0" applyAlignment="1" applyFont="1" applyNumberFormat="1">
      <alignment readingOrder="0"/>
    </xf>
    <xf borderId="0" fillId="4" fontId="6" numFmtId="0" xfId="0" applyAlignment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ernandez vanoy" id="{8ac5b77a-c0d9-4137-b09c-38672bf0b0f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" dT="2026-10-06T08:28:42.00" personId="{8ac5b77a-c0d9-4137-b09c-38672bf0b0f3}" id="{1e5f92c9-7b90-41f2-ad13-a6c23ed4845f}" done="0">
    <x18tc:text xml:space="preserve">empresa y lote son opcionales, solo entran si lo usamos para comparar operadores. Si no, quitarlos del lago.</x18tc:text>
  </x18tc:threadedComment>
  <x18tc:threadedComment ref="A30" dT="2026-10-06T09:10:08.00" personId="{8ac5b77a-c0d9-4137-b09c-38672bf0b0f3}" id="{16aa9c42-26ff-45cc-9a60-dba480b6e9e6}" done="0">
    <x18tc:text xml:space="preserve">idhm_longevidad e idhm_educacion solo merecen fila si la usamos Ninguna de sus tres preguntas depende de ellas; se puede analizar mejor para determinar si pertenece al lago o no.</x18tc:text>
  </x18tc:threadedComment>
  <x18tc:threadedComment ref="A34" dT="2026-10-06T09:20:06.00" personId="{8ac5b77a-c0d9-4137-b09c-38672bf0b0f3}" id="{3bd3b997-ec23-4f10-9c7f-c13693ca2c32}" done="0">
    <x18tc:text xml:space="preserve">Podriamos usar los datos para comparar con otras ciudades de brasil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etadados.geosampa.prefeitura.sp.gov.br/geonetwork/srv/por/catalog.search" TargetMode="External"/><Relationship Id="rId20" Type="http://schemas.openxmlformats.org/officeDocument/2006/relationships/hyperlink" Target="https://www.prefeitura.sp.gov.br/cidade/secretarias/upload/tabela%20nascidos%20vivos%20tipo%20de%20parto%202023.xlsx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metadados.geosampa.prefeitura.sp.gov.br/geonetwork/srv/por/catalog.search" TargetMode="External"/><Relationship Id="rId22" Type="http://schemas.openxmlformats.org/officeDocument/2006/relationships/hyperlink" Target="https://prefeitura.sp.gov.br/documents/d/licenciamento/shoppings-sp-2025_tabela-1-" TargetMode="External"/><Relationship Id="rId21" Type="http://schemas.openxmlformats.org/officeDocument/2006/relationships/hyperlink" Target="https://prefeitura.sp.gov.br/documents/d/licenciamento/feiras_livres_mercados_e_sacoloes_munici_2003_2025" TargetMode="External"/><Relationship Id="rId24" Type="http://schemas.openxmlformats.org/officeDocument/2006/relationships/hyperlink" Target="https://www.prefeitura.sp.gov.br/cidade/secretarias/upload/16_shopping_centers__localizacao_2017.xls" TargetMode="External"/><Relationship Id="rId23" Type="http://schemas.openxmlformats.org/officeDocument/2006/relationships/hyperlink" Target="https://www.prefeitura.sp.gov.br/cidade/secretarias/upload/16_shopping_centers__localizacao_2021.xls" TargetMode="External"/><Relationship Id="rId1" Type="http://schemas.openxmlformats.org/officeDocument/2006/relationships/hyperlink" Target="https://www.prefeitura.sp.gov.br/cidade/secretarias/upload/chamadas/312_censo_br-rm-uf-msp_pop-abs_1872-2022_final_1715804989.xlsx" TargetMode="External"/><Relationship Id="rId2" Type="http://schemas.openxmlformats.org/officeDocument/2006/relationships/hyperlink" Target="https://wikimedia.org/api/rest_v1/metrics/pageviews/per-article/pt.wikipedia/all-access/user/S%C3%A3o_Paulo/monthly/20250101/20260831" TargetMode="External"/><Relationship Id="rId3" Type="http://schemas.openxmlformats.org/officeDocument/2006/relationships/hyperlink" Target="https://prefeitura.sp.gov.br/documents/d/licenciamento/tabela-estabelecimentos-e-servicos-de-saude-por-rede-2025" TargetMode="External"/><Relationship Id="rId4" Type="http://schemas.openxmlformats.org/officeDocument/2006/relationships/hyperlink" Target="https://prefeitura.sp.gov.br/documents/d/licenciamento/1_receita_segundo_fontes_e_despesas_por_categoria_2025-1-" TargetMode="External"/><Relationship Id="rId9" Type="http://schemas.openxmlformats.org/officeDocument/2006/relationships/hyperlink" Target="https://www.sptrans.com.br/desenvolvedores/api-do-olho-vivo-guia-de-referencia/" TargetMode="External"/><Relationship Id="rId26" Type="http://schemas.openxmlformats.org/officeDocument/2006/relationships/hyperlink" Target="https://www.prefeitura.sp.gov.br/cidade/secretarias/upload/licenciamento/2_cobertura_vegetal_2015_60.xls" TargetMode="External"/><Relationship Id="rId25" Type="http://schemas.openxmlformats.org/officeDocument/2006/relationships/hyperlink" Target="https://www.prefeitura.sp.gov.br/cidade/secretarias/upload/chamadas/2_cobertura_vegetal_2020_60_1679319826.xls" TargetMode="External"/><Relationship Id="rId28" Type="http://schemas.openxmlformats.org/officeDocument/2006/relationships/hyperlink" Target="https://prefeitura.sp.gov.br/documents/d/licenciamento/area_construida_residencial_1995_2025-1-" TargetMode="External"/><Relationship Id="rId27" Type="http://schemas.openxmlformats.org/officeDocument/2006/relationships/hyperlink" Target="https://www.prefeitura.sp.gov.br/cidade/secretarias/upload/licenciamento/2_cobertura_vegetal_2010_60.xls" TargetMode="External"/><Relationship Id="rId5" Type="http://schemas.openxmlformats.org/officeDocument/2006/relationships/hyperlink" Target="https://prefeitura.sp.gov.br/web/mobilidade/w/institucional/sptrans/acesso_a_informacao/152416" TargetMode="External"/><Relationship Id="rId6" Type="http://schemas.openxmlformats.org/officeDocument/2006/relationships/hyperlink" Target="https://prefeitura.sp.gov.br/documents/d/licenciamento/2025_temp_media_minima_1933_2025" TargetMode="External"/><Relationship Id="rId29" Type="http://schemas.openxmlformats.org/officeDocument/2006/relationships/hyperlink" Target="https://metadados.geosampa.prefeitura.sp.gov.br/geonetwork/srv/por/catalog.search" TargetMode="External"/><Relationship Id="rId7" Type="http://schemas.openxmlformats.org/officeDocument/2006/relationships/hyperlink" Target="https://www.prefeitura.sp.gov.br/cidade/secretarias/upload/urbanismo/infocidade/tabelas/7_Indice_de_desenvolvimento_humano_municip_2000_10962.xls" TargetMode="External"/><Relationship Id="rId8" Type="http://schemas.openxmlformats.org/officeDocument/2006/relationships/hyperlink" Target="https://servicodados.ibge.gov.br/api/v3/agregados/6579/periodos/2021/variaveis/9324?localidades=N6" TargetMode="External"/><Relationship Id="rId31" Type="http://schemas.openxmlformats.org/officeDocument/2006/relationships/hyperlink" Target="https://metadados.geosampa.prefeitura.sp.gov.br/geonetwork/srv/por/catalog.search" TargetMode="External"/><Relationship Id="rId30" Type="http://schemas.openxmlformats.org/officeDocument/2006/relationships/hyperlink" Target="https://metadados.geosampa.prefeitura.sp.gov.br/geonetwork/srv/por/catalog.search" TargetMode="External"/><Relationship Id="rId11" Type="http://schemas.openxmlformats.org/officeDocument/2006/relationships/hyperlink" Target="https://prefeitura.sp.gov.br/documents/d/licenciamento/2026-06-08_a_estabelecimentos_2011_2024-1-" TargetMode="External"/><Relationship Id="rId33" Type="http://schemas.openxmlformats.org/officeDocument/2006/relationships/hyperlink" Target="https://metadados.geosampa.prefeitura.sp.gov.br/geonetwork/srv/por/catalog.search" TargetMode="External"/><Relationship Id="rId10" Type="http://schemas.openxmlformats.org/officeDocument/2006/relationships/hyperlink" Target="https://dados.prefeitura.sp.gov.br/dataset/dados-de-acesso-portal-da-transparencia-e-portal-de-dados-abertos" TargetMode="External"/><Relationship Id="rId32" Type="http://schemas.openxmlformats.org/officeDocument/2006/relationships/hyperlink" Target="https://metadados.geosampa.prefeitura.sp.gov.br/geonetwork/srv/por/catalog.search" TargetMode="External"/><Relationship Id="rId13" Type="http://schemas.openxmlformats.org/officeDocument/2006/relationships/hyperlink" Target="https://prefeitura.sp.gov.br/documents/d/licenciamento/2026-06-08_10_empregos_sexo_2024-1-" TargetMode="External"/><Relationship Id="rId35" Type="http://schemas.openxmlformats.org/officeDocument/2006/relationships/hyperlink" Target="https://metadados.geosampa.prefeitura.sp.gov.br/geonetwork/srv/por/catalog.search" TargetMode="External"/><Relationship Id="rId12" Type="http://schemas.openxmlformats.org/officeDocument/2006/relationships/hyperlink" Target="https://prefeitura.sp.gov.br/documents/d/licenciamento/2026-06-08_b_empregos_2011_2024-1-" TargetMode="External"/><Relationship Id="rId34" Type="http://schemas.openxmlformats.org/officeDocument/2006/relationships/hyperlink" Target="https://metadados.geosampa.prefeitura.sp.gov.br/geonetwork/srv/por/catalog.search" TargetMode="External"/><Relationship Id="rId15" Type="http://schemas.openxmlformats.org/officeDocument/2006/relationships/hyperlink" Target="https://prefeitura.sp.gov.br/documents/d/licenciamento/2026-02-12_10_empregos_sexo_2022-1" TargetMode="External"/><Relationship Id="rId37" Type="http://schemas.openxmlformats.org/officeDocument/2006/relationships/hyperlink" Target="https://metadados.geosampa.prefeitura.sp.gov.br/geonetwork/srv/por/catalog.search" TargetMode="External"/><Relationship Id="rId14" Type="http://schemas.openxmlformats.org/officeDocument/2006/relationships/hyperlink" Target="https://prefeitura.sp.gov.br/documents/d/licenciamento/2026-02-12_10_empregos_sexo_2023-1" TargetMode="External"/><Relationship Id="rId36" Type="http://schemas.openxmlformats.org/officeDocument/2006/relationships/hyperlink" Target="https://metadados.geosampa.prefeitura.sp.gov.br/geonetwork/srv/por/catalog.search" TargetMode="External"/><Relationship Id="rId17" Type="http://schemas.openxmlformats.org/officeDocument/2006/relationships/hyperlink" Target="https://prefeitura.sp.gov.br/documents/d/licenciamento/2026-06-08_11_empregos_raca_2023-1-" TargetMode="External"/><Relationship Id="rId39" Type="http://schemas.openxmlformats.org/officeDocument/2006/relationships/hyperlink" Target="https://metadados.geosampa.prefeitura.sp.gov.br/geonetwork/srv/por/catalog.search" TargetMode="External"/><Relationship Id="rId16" Type="http://schemas.openxmlformats.org/officeDocument/2006/relationships/hyperlink" Target="https://prefeitura.sp.gov.br/documents/d/licenciamento/2026-06-08_11_empregos_raca_2024" TargetMode="External"/><Relationship Id="rId38" Type="http://schemas.openxmlformats.org/officeDocument/2006/relationships/hyperlink" Target="https://metadados.geosampa.prefeitura.sp.gov.br/geonetwork/srv/por/catalog.search" TargetMode="External"/><Relationship Id="rId19" Type="http://schemas.openxmlformats.org/officeDocument/2006/relationships/hyperlink" Target="https://prefeitura.sp.gov.br/documents/d/licenciamento/nascidos-vivos-e-tipo-de-parto-2024" TargetMode="External"/><Relationship Id="rId18" Type="http://schemas.openxmlformats.org/officeDocument/2006/relationships/hyperlink" Target="https://prefeitura.sp.gov.br/documents/d/licenciamento/tabela-nascidos-vivos-e-tipo-de-parto-2025-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localidade.id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0.0"/>
    <col customWidth="1" min="3" max="26" width="8.86"/>
  </cols>
  <sheetData>
    <row r="1">
      <c r="B1" s="8" t="s">
        <v>97</v>
      </c>
    </row>
    <row r="2">
      <c r="B2" s="9" t="s">
        <v>101</v>
      </c>
    </row>
    <row r="3">
      <c r="B3" s="10"/>
    </row>
    <row r="4">
      <c r="B4" s="11" t="s">
        <v>107</v>
      </c>
    </row>
    <row r="5">
      <c r="B5" s="13" t="s">
        <v>112</v>
      </c>
    </row>
    <row r="6">
      <c r="B6" s="13" t="s">
        <v>116</v>
      </c>
    </row>
    <row r="7">
      <c r="B7" s="14" t="s">
        <v>120</v>
      </c>
    </row>
    <row r="8">
      <c r="B8" s="10"/>
    </row>
    <row r="9">
      <c r="B9" s="11" t="s">
        <v>125</v>
      </c>
    </row>
    <row r="10">
      <c r="B10" s="10" t="s">
        <v>126</v>
      </c>
    </row>
    <row r="11">
      <c r="B11" s="10" t="s">
        <v>128</v>
      </c>
    </row>
    <row r="12">
      <c r="B12" s="10" t="s">
        <v>130</v>
      </c>
    </row>
    <row r="13">
      <c r="B13" s="10" t="s">
        <v>132</v>
      </c>
    </row>
    <row r="14">
      <c r="B14" s="10"/>
    </row>
    <row r="15">
      <c r="B15" s="11" t="s">
        <v>137</v>
      </c>
    </row>
    <row r="16">
      <c r="B16" s="10" t="s">
        <v>141</v>
      </c>
    </row>
    <row r="17">
      <c r="B17" s="10" t="s">
        <v>143</v>
      </c>
    </row>
    <row r="18">
      <c r="B18" s="10" t="s">
        <v>145</v>
      </c>
    </row>
    <row r="19">
      <c r="B19" s="10" t="s">
        <v>146</v>
      </c>
    </row>
    <row r="20">
      <c r="B20" s="10" t="s">
        <v>150</v>
      </c>
    </row>
    <row r="21" ht="15.75" customHeight="1">
      <c r="B21" s="10" t="s">
        <v>152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22.0"/>
    <col customWidth="1" min="4" max="4" width="18.0"/>
    <col customWidth="1" min="5" max="5" width="36.0"/>
    <col customWidth="1" min="6" max="6" width="13.86"/>
    <col customWidth="1" min="7" max="7" width="18.0"/>
    <col customWidth="1" min="8" max="8" width="22.0"/>
    <col customWidth="1" min="9" max="9" width="18.0"/>
    <col customWidth="1" min="10" max="10" width="16.0"/>
    <col customWidth="1" min="11" max="13" width="14.0"/>
    <col customWidth="1" min="14" max="14" width="20.0"/>
    <col customWidth="1" min="15" max="15" width="26.0"/>
    <col customWidth="1" min="16" max="16" width="32.0"/>
    <col customWidth="1" min="17" max="26" width="8.86"/>
  </cols>
  <sheetData>
    <row r="1">
      <c r="A1" s="1" t="s">
        <v>0</v>
      </c>
    </row>
    <row r="2">
      <c r="A2" s="2" t="s">
        <v>3</v>
      </c>
    </row>
    <row r="3" ht="42.0" customHeight="1">
      <c r="A3" s="3" t="s">
        <v>6</v>
      </c>
      <c r="B3" s="3" t="s">
        <v>8</v>
      </c>
      <c r="C3" s="3" t="s">
        <v>9</v>
      </c>
      <c r="D3" s="3" t="s">
        <v>12</v>
      </c>
      <c r="E3" s="3" t="s">
        <v>16</v>
      </c>
      <c r="F3" s="3" t="s">
        <v>19</v>
      </c>
      <c r="G3" s="3" t="s">
        <v>22</v>
      </c>
      <c r="H3" s="3" t="s">
        <v>24</v>
      </c>
      <c r="I3" s="3" t="s">
        <v>27</v>
      </c>
      <c r="J3" s="3" t="s">
        <v>29</v>
      </c>
      <c r="K3" s="3" t="s">
        <v>31</v>
      </c>
      <c r="L3" s="3" t="s">
        <v>33</v>
      </c>
      <c r="M3" s="3" t="s">
        <v>35</v>
      </c>
      <c r="N3" s="3" t="s">
        <v>37</v>
      </c>
      <c r="O3" s="3" t="s">
        <v>39</v>
      </c>
      <c r="P3" s="3" t="s">
        <v>40</v>
      </c>
    </row>
    <row r="4">
      <c r="A4" s="4" t="s">
        <v>43</v>
      </c>
      <c r="B4" s="4" t="s">
        <v>46</v>
      </c>
      <c r="C4" s="4" t="s">
        <v>48</v>
      </c>
      <c r="D4" s="4" t="s">
        <v>51</v>
      </c>
      <c r="E4" s="4" t="s">
        <v>52</v>
      </c>
      <c r="F4" s="4" t="s">
        <v>55</v>
      </c>
      <c r="G4" s="4" t="s">
        <v>57</v>
      </c>
      <c r="H4" s="4" t="s">
        <v>59</v>
      </c>
      <c r="I4" s="4" t="s">
        <v>60</v>
      </c>
      <c r="J4" s="4" t="s">
        <v>62</v>
      </c>
      <c r="K4" s="4" t="s">
        <v>63</v>
      </c>
      <c r="L4" s="4" t="s">
        <v>65</v>
      </c>
      <c r="M4" s="4" t="s">
        <v>67</v>
      </c>
      <c r="N4" s="4" t="s">
        <v>69</v>
      </c>
      <c r="O4" s="4" t="s">
        <v>70</v>
      </c>
      <c r="P4" s="4" t="s">
        <v>71</v>
      </c>
    </row>
    <row r="5">
      <c r="A5" s="5" t="s">
        <v>43</v>
      </c>
      <c r="B5" s="5" t="s">
        <v>77</v>
      </c>
      <c r="C5" s="5" t="s">
        <v>79</v>
      </c>
      <c r="D5" s="5" t="s">
        <v>85</v>
      </c>
      <c r="E5" s="12" t="s">
        <v>88</v>
      </c>
      <c r="F5" s="5" t="s">
        <v>124</v>
      </c>
      <c r="G5" s="5" t="s">
        <v>129</v>
      </c>
      <c r="H5" s="5" t="s">
        <v>140</v>
      </c>
      <c r="I5" s="5" t="s">
        <v>60</v>
      </c>
      <c r="J5" s="5" t="s">
        <v>147</v>
      </c>
      <c r="K5" s="5" t="s">
        <v>149</v>
      </c>
      <c r="L5" s="5" t="s">
        <v>65</v>
      </c>
      <c r="M5" s="15">
        <v>46293.0</v>
      </c>
      <c r="N5" s="5" t="s">
        <v>169</v>
      </c>
      <c r="O5" s="5" t="s">
        <v>171</v>
      </c>
      <c r="P5" s="5" t="s">
        <v>172</v>
      </c>
    </row>
    <row r="6">
      <c r="A6" s="5" t="s">
        <v>131</v>
      </c>
      <c r="B6" s="5" t="s">
        <v>174</v>
      </c>
      <c r="C6" s="5" t="s">
        <v>175</v>
      </c>
      <c r="D6" s="5" t="s">
        <v>51</v>
      </c>
      <c r="E6" s="16" t="s">
        <v>177</v>
      </c>
      <c r="F6" s="5" t="s">
        <v>55</v>
      </c>
      <c r="G6" s="5" t="s">
        <v>57</v>
      </c>
      <c r="H6" s="5" t="s">
        <v>59</v>
      </c>
      <c r="I6" s="5" t="s">
        <v>60</v>
      </c>
      <c r="J6" s="5" t="s">
        <v>62</v>
      </c>
      <c r="K6" s="5" t="s">
        <v>63</v>
      </c>
      <c r="L6" s="5" t="s">
        <v>65</v>
      </c>
      <c r="M6" s="15">
        <v>46293.0</v>
      </c>
      <c r="N6" s="5" t="s">
        <v>169</v>
      </c>
      <c r="O6" s="5" t="s">
        <v>203</v>
      </c>
      <c r="P6" s="5" t="s">
        <v>206</v>
      </c>
    </row>
    <row r="7">
      <c r="A7" s="5" t="s">
        <v>156</v>
      </c>
      <c r="B7" s="5" t="s">
        <v>210</v>
      </c>
      <c r="C7" s="5" t="s">
        <v>79</v>
      </c>
      <c r="D7" s="5" t="s">
        <v>85</v>
      </c>
      <c r="E7" s="12" t="s">
        <v>213</v>
      </c>
      <c r="F7" s="5" t="s">
        <v>124</v>
      </c>
      <c r="G7" s="5" t="s">
        <v>129</v>
      </c>
      <c r="H7" s="5" t="s">
        <v>236</v>
      </c>
      <c r="I7" s="5" t="s">
        <v>60</v>
      </c>
      <c r="J7" s="5" t="s">
        <v>147</v>
      </c>
      <c r="K7" s="5" t="s">
        <v>238</v>
      </c>
      <c r="L7" s="5" t="s">
        <v>241</v>
      </c>
      <c r="M7" s="15">
        <v>46293.0</v>
      </c>
      <c r="N7" s="5" t="s">
        <v>169</v>
      </c>
      <c r="O7" s="5" t="s">
        <v>171</v>
      </c>
      <c r="P7" s="5" t="s">
        <v>172</v>
      </c>
    </row>
    <row r="8">
      <c r="A8" s="5" t="s">
        <v>185</v>
      </c>
      <c r="B8" s="5" t="s">
        <v>245</v>
      </c>
      <c r="C8" s="5" t="s">
        <v>79</v>
      </c>
      <c r="D8" s="5" t="s">
        <v>85</v>
      </c>
      <c r="E8" s="12" t="s">
        <v>249</v>
      </c>
      <c r="F8" s="5" t="s">
        <v>124</v>
      </c>
      <c r="G8" s="5" t="s">
        <v>129</v>
      </c>
      <c r="H8" s="5" t="s">
        <v>267</v>
      </c>
      <c r="I8" s="5" t="s">
        <v>60</v>
      </c>
      <c r="J8" s="5" t="s">
        <v>270</v>
      </c>
      <c r="K8" s="5" t="s">
        <v>189</v>
      </c>
      <c r="L8" s="5" t="s">
        <v>272</v>
      </c>
      <c r="M8" s="15">
        <v>46293.0</v>
      </c>
      <c r="N8" s="5" t="s">
        <v>169</v>
      </c>
      <c r="O8" s="5" t="s">
        <v>171</v>
      </c>
      <c r="P8" s="5" t="s">
        <v>172</v>
      </c>
    </row>
    <row r="9">
      <c r="A9" s="5" t="s">
        <v>214</v>
      </c>
      <c r="B9" s="5" t="s">
        <v>278</v>
      </c>
      <c r="C9" s="5" t="s">
        <v>79</v>
      </c>
      <c r="D9" s="5" t="s">
        <v>85</v>
      </c>
      <c r="E9" s="16" t="s">
        <v>282</v>
      </c>
      <c r="F9" s="5" t="s">
        <v>302</v>
      </c>
      <c r="G9" s="5" t="s">
        <v>129</v>
      </c>
      <c r="H9" s="5" t="s">
        <v>59</v>
      </c>
      <c r="I9" s="5" t="s">
        <v>60</v>
      </c>
      <c r="J9" s="5" t="s">
        <v>303</v>
      </c>
      <c r="K9" s="5" t="s">
        <v>305</v>
      </c>
      <c r="L9" s="5" t="s">
        <v>65</v>
      </c>
      <c r="M9" s="15">
        <v>46293.0</v>
      </c>
      <c r="N9" s="5" t="s">
        <v>169</v>
      </c>
      <c r="O9" s="5" t="s">
        <v>306</v>
      </c>
      <c r="P9" s="5" t="s">
        <v>307</v>
      </c>
    </row>
    <row r="10">
      <c r="A10" s="5" t="s">
        <v>261</v>
      </c>
      <c r="B10" s="5" t="s">
        <v>311</v>
      </c>
      <c r="C10" s="5" t="s">
        <v>79</v>
      </c>
      <c r="D10" s="5" t="s">
        <v>85</v>
      </c>
      <c r="E10" s="12" t="s">
        <v>312</v>
      </c>
      <c r="F10" s="5" t="s">
        <v>124</v>
      </c>
      <c r="G10" s="5" t="s">
        <v>129</v>
      </c>
      <c r="H10" s="5" t="s">
        <v>318</v>
      </c>
      <c r="I10" s="5" t="s">
        <v>60</v>
      </c>
      <c r="J10" s="5" t="s">
        <v>270</v>
      </c>
      <c r="K10" s="5" t="s">
        <v>265</v>
      </c>
      <c r="L10" s="5" t="s">
        <v>272</v>
      </c>
      <c r="M10" s="15">
        <v>46293.0</v>
      </c>
      <c r="N10" s="5" t="s">
        <v>169</v>
      </c>
      <c r="O10" s="5" t="s">
        <v>171</v>
      </c>
      <c r="P10" s="5" t="s">
        <v>172</v>
      </c>
    </row>
    <row r="11">
      <c r="A11" s="5" t="s">
        <v>284</v>
      </c>
      <c r="B11" s="5" t="s">
        <v>320</v>
      </c>
      <c r="C11" s="5" t="s">
        <v>79</v>
      </c>
      <c r="D11" s="5" t="s">
        <v>85</v>
      </c>
      <c r="E11" s="12" t="s">
        <v>322</v>
      </c>
      <c r="F11" s="5" t="s">
        <v>124</v>
      </c>
      <c r="G11" s="5" t="s">
        <v>129</v>
      </c>
      <c r="H11" s="5" t="s">
        <v>336</v>
      </c>
      <c r="I11" s="5" t="s">
        <v>60</v>
      </c>
      <c r="J11" s="5" t="s">
        <v>339</v>
      </c>
      <c r="K11" s="5" t="s">
        <v>341</v>
      </c>
      <c r="L11" s="5" t="s">
        <v>241</v>
      </c>
      <c r="M11" s="15">
        <v>46293.0</v>
      </c>
      <c r="N11" s="5" t="s">
        <v>169</v>
      </c>
      <c r="O11" s="5" t="s">
        <v>171</v>
      </c>
      <c r="P11" s="5" t="s">
        <v>172</v>
      </c>
    </row>
    <row r="12">
      <c r="A12" s="5" t="s">
        <v>314</v>
      </c>
      <c r="B12" s="5" t="s">
        <v>347</v>
      </c>
      <c r="C12" s="5" t="s">
        <v>348</v>
      </c>
      <c r="D12" s="5" t="s">
        <v>85</v>
      </c>
      <c r="E12" s="16" t="s">
        <v>352</v>
      </c>
      <c r="F12" s="5" t="s">
        <v>55</v>
      </c>
      <c r="G12" s="5" t="s">
        <v>57</v>
      </c>
      <c r="H12" s="5" t="s">
        <v>59</v>
      </c>
      <c r="I12" s="5" t="s">
        <v>60</v>
      </c>
      <c r="J12" s="5" t="s">
        <v>371</v>
      </c>
      <c r="K12" s="5" t="s">
        <v>372</v>
      </c>
      <c r="L12" s="5" t="s">
        <v>272</v>
      </c>
      <c r="M12" s="15">
        <v>46293.0</v>
      </c>
      <c r="N12" s="5" t="s">
        <v>169</v>
      </c>
      <c r="O12" s="5" t="s">
        <v>375</v>
      </c>
      <c r="P12" s="5" t="s">
        <v>376</v>
      </c>
    </row>
    <row r="13">
      <c r="A13" s="5" t="s">
        <v>378</v>
      </c>
      <c r="B13" s="5" t="s">
        <v>379</v>
      </c>
      <c r="C13" s="5" t="s">
        <v>380</v>
      </c>
      <c r="D13" s="5" t="s">
        <v>85</v>
      </c>
      <c r="E13" s="16" t="s">
        <v>384</v>
      </c>
      <c r="F13" s="5" t="s">
        <v>55</v>
      </c>
      <c r="G13" s="5" t="s">
        <v>396</v>
      </c>
      <c r="H13" s="5" t="s">
        <v>59</v>
      </c>
      <c r="I13" s="5" t="s">
        <v>60</v>
      </c>
      <c r="J13" s="5" t="s">
        <v>303</v>
      </c>
      <c r="K13" s="5" t="s">
        <v>398</v>
      </c>
      <c r="L13" s="5" t="s">
        <v>401</v>
      </c>
      <c r="M13" s="15">
        <v>46293.0</v>
      </c>
      <c r="N13" s="5" t="s">
        <v>169</v>
      </c>
      <c r="O13" s="5" t="s">
        <v>403</v>
      </c>
      <c r="P13" s="5" t="s">
        <v>404</v>
      </c>
    </row>
    <row r="14">
      <c r="A14" s="5" t="s">
        <v>406</v>
      </c>
      <c r="B14" s="5" t="s">
        <v>407</v>
      </c>
      <c r="C14" s="5" t="s">
        <v>409</v>
      </c>
      <c r="D14" s="5" t="s">
        <v>85</v>
      </c>
      <c r="E14" s="16" t="s">
        <v>411</v>
      </c>
      <c r="F14" s="5" t="s">
        <v>302</v>
      </c>
      <c r="G14" s="5" t="s">
        <v>129</v>
      </c>
      <c r="H14" s="5" t="s">
        <v>59</v>
      </c>
      <c r="I14" s="5" t="s">
        <v>60</v>
      </c>
      <c r="J14" s="5" t="s">
        <v>371</v>
      </c>
      <c r="K14" s="5">
        <v>2026.0</v>
      </c>
      <c r="L14" s="5" t="s">
        <v>65</v>
      </c>
      <c r="M14" s="15">
        <v>46293.0</v>
      </c>
      <c r="N14" s="5" t="s">
        <v>421</v>
      </c>
      <c r="O14" s="5" t="s">
        <v>422</v>
      </c>
      <c r="P14" s="5" t="s">
        <v>423</v>
      </c>
    </row>
    <row r="15">
      <c r="A15" s="5" t="s">
        <v>338</v>
      </c>
      <c r="B15" s="5" t="s">
        <v>425</v>
      </c>
      <c r="C15" s="5" t="s">
        <v>79</v>
      </c>
      <c r="D15" s="5" t="s">
        <v>85</v>
      </c>
      <c r="E15" s="12" t="s">
        <v>426</v>
      </c>
      <c r="F15" s="5" t="s">
        <v>444</v>
      </c>
      <c r="G15" s="5" t="s">
        <v>129</v>
      </c>
      <c r="H15" s="5" t="s">
        <v>446</v>
      </c>
      <c r="I15" s="5" t="s">
        <v>60</v>
      </c>
      <c r="J15" s="5" t="s">
        <v>447</v>
      </c>
      <c r="K15" s="5" t="s">
        <v>448</v>
      </c>
      <c r="L15" s="5" t="s">
        <v>272</v>
      </c>
      <c r="M15" s="15">
        <v>46301.0</v>
      </c>
      <c r="N15" s="5" t="s">
        <v>169</v>
      </c>
      <c r="O15" s="5" t="s">
        <v>171</v>
      </c>
      <c r="P15" s="5" t="s">
        <v>172</v>
      </c>
    </row>
    <row r="16">
      <c r="A16" s="5" t="s">
        <v>367</v>
      </c>
      <c r="B16" s="5" t="s">
        <v>453</v>
      </c>
      <c r="C16" s="5" t="s">
        <v>79</v>
      </c>
      <c r="D16" s="5" t="s">
        <v>85</v>
      </c>
      <c r="E16" s="12" t="s">
        <v>456</v>
      </c>
      <c r="F16" s="5" t="s">
        <v>444</v>
      </c>
      <c r="G16" s="5" t="s">
        <v>129</v>
      </c>
      <c r="H16" s="5" t="s">
        <v>477</v>
      </c>
      <c r="I16" s="5" t="s">
        <v>60</v>
      </c>
      <c r="J16" s="5" t="s">
        <v>447</v>
      </c>
      <c r="K16" s="5" t="s">
        <v>479</v>
      </c>
      <c r="L16" s="5" t="s">
        <v>272</v>
      </c>
      <c r="M16" s="15">
        <v>46301.0</v>
      </c>
      <c r="N16" s="5" t="s">
        <v>169</v>
      </c>
      <c r="O16" s="5" t="s">
        <v>171</v>
      </c>
      <c r="P16" s="5" t="s">
        <v>172</v>
      </c>
    </row>
    <row r="17">
      <c r="A17" s="5" t="s">
        <v>481</v>
      </c>
      <c r="B17" s="5" t="s">
        <v>482</v>
      </c>
      <c r="C17" s="5" t="s">
        <v>79</v>
      </c>
      <c r="D17" s="5" t="s">
        <v>85</v>
      </c>
      <c r="E17" s="12" t="s">
        <v>486</v>
      </c>
      <c r="F17" s="5" t="s">
        <v>444</v>
      </c>
      <c r="G17" s="5" t="s">
        <v>129</v>
      </c>
      <c r="H17" s="5" t="s">
        <v>504</v>
      </c>
      <c r="I17" s="5" t="s">
        <v>60</v>
      </c>
      <c r="J17" s="5" t="s">
        <v>447</v>
      </c>
      <c r="K17" s="5">
        <v>2024.0</v>
      </c>
      <c r="L17" s="5" t="s">
        <v>272</v>
      </c>
      <c r="M17" s="15">
        <v>46301.0</v>
      </c>
      <c r="N17" s="5" t="s">
        <v>169</v>
      </c>
      <c r="O17" s="5" t="s">
        <v>171</v>
      </c>
      <c r="P17" s="5" t="s">
        <v>172</v>
      </c>
    </row>
    <row r="18">
      <c r="A18" s="5" t="s">
        <v>513</v>
      </c>
      <c r="B18" s="5" t="s">
        <v>515</v>
      </c>
      <c r="C18" s="5" t="s">
        <v>79</v>
      </c>
      <c r="D18" s="5" t="s">
        <v>85</v>
      </c>
      <c r="E18" s="12" t="s">
        <v>519</v>
      </c>
      <c r="F18" s="5" t="s">
        <v>444</v>
      </c>
      <c r="G18" s="5" t="s">
        <v>129</v>
      </c>
      <c r="H18" s="5" t="s">
        <v>536</v>
      </c>
      <c r="I18" s="5" t="s">
        <v>60</v>
      </c>
      <c r="J18" s="5" t="s">
        <v>447</v>
      </c>
      <c r="K18" s="5">
        <v>2023.0</v>
      </c>
      <c r="L18" s="5" t="s">
        <v>272</v>
      </c>
      <c r="M18" s="15">
        <v>46301.0</v>
      </c>
      <c r="N18" s="5" t="s">
        <v>169</v>
      </c>
      <c r="O18" s="5" t="s">
        <v>171</v>
      </c>
      <c r="P18" s="5" t="s">
        <v>172</v>
      </c>
    </row>
    <row r="19">
      <c r="A19" s="5" t="s">
        <v>541</v>
      </c>
      <c r="B19" s="5" t="s">
        <v>543</v>
      </c>
      <c r="C19" s="5" t="s">
        <v>79</v>
      </c>
      <c r="D19" s="5" t="s">
        <v>85</v>
      </c>
      <c r="E19" s="12" t="s">
        <v>545</v>
      </c>
      <c r="F19" s="5" t="s">
        <v>444</v>
      </c>
      <c r="G19" s="5" t="s">
        <v>129</v>
      </c>
      <c r="H19" s="5" t="s">
        <v>555</v>
      </c>
      <c r="I19" s="5" t="s">
        <v>60</v>
      </c>
      <c r="J19" s="5" t="s">
        <v>447</v>
      </c>
      <c r="K19" s="5">
        <v>2022.0</v>
      </c>
      <c r="L19" s="5" t="s">
        <v>272</v>
      </c>
      <c r="M19" s="15">
        <v>46301.0</v>
      </c>
      <c r="N19" s="5" t="s">
        <v>169</v>
      </c>
      <c r="O19" s="5" t="s">
        <v>171</v>
      </c>
      <c r="P19" s="5" t="s">
        <v>172</v>
      </c>
    </row>
    <row r="20">
      <c r="A20" s="5" t="s">
        <v>562</v>
      </c>
      <c r="B20" s="5" t="s">
        <v>564</v>
      </c>
      <c r="C20" s="5" t="s">
        <v>79</v>
      </c>
      <c r="D20" s="5" t="s">
        <v>85</v>
      </c>
      <c r="E20" s="12" t="s">
        <v>567</v>
      </c>
      <c r="F20" s="5" t="s">
        <v>444</v>
      </c>
      <c r="G20" s="5" t="s">
        <v>129</v>
      </c>
      <c r="H20" s="5" t="s">
        <v>585</v>
      </c>
      <c r="I20" s="5" t="s">
        <v>60</v>
      </c>
      <c r="J20" s="5" t="s">
        <v>447</v>
      </c>
      <c r="K20" s="5">
        <v>2024.0</v>
      </c>
      <c r="L20" s="5" t="s">
        <v>272</v>
      </c>
      <c r="M20" s="15">
        <v>46301.0</v>
      </c>
      <c r="N20" s="5" t="s">
        <v>169</v>
      </c>
      <c r="O20" s="5" t="s">
        <v>171</v>
      </c>
      <c r="P20" s="5" t="s">
        <v>172</v>
      </c>
    </row>
    <row r="21" ht="15.75" customHeight="1">
      <c r="A21" s="5" t="s">
        <v>586</v>
      </c>
      <c r="B21" s="5" t="s">
        <v>587</v>
      </c>
      <c r="C21" s="5" t="s">
        <v>79</v>
      </c>
      <c r="D21" s="5" t="s">
        <v>85</v>
      </c>
      <c r="E21" s="12" t="s">
        <v>589</v>
      </c>
      <c r="F21" s="5" t="s">
        <v>444</v>
      </c>
      <c r="G21" s="5" t="s">
        <v>129</v>
      </c>
      <c r="H21" s="5" t="s">
        <v>606</v>
      </c>
      <c r="I21" s="5" t="s">
        <v>60</v>
      </c>
      <c r="J21" s="5" t="s">
        <v>447</v>
      </c>
      <c r="K21" s="5">
        <v>2023.0</v>
      </c>
      <c r="L21" s="5" t="s">
        <v>272</v>
      </c>
      <c r="M21" s="15">
        <v>46301.0</v>
      </c>
      <c r="N21" s="5" t="s">
        <v>169</v>
      </c>
      <c r="O21" s="5" t="s">
        <v>171</v>
      </c>
      <c r="P21" s="5" t="s">
        <v>172</v>
      </c>
    </row>
    <row r="22" ht="15.75" customHeight="1">
      <c r="A22" s="5" t="s">
        <v>611</v>
      </c>
      <c r="B22" s="5" t="s">
        <v>613</v>
      </c>
      <c r="C22" s="5" t="s">
        <v>79</v>
      </c>
      <c r="D22" s="5" t="s">
        <v>85</v>
      </c>
      <c r="E22" s="12" t="s">
        <v>615</v>
      </c>
      <c r="F22" s="5" t="s">
        <v>444</v>
      </c>
      <c r="G22" s="5" t="s">
        <v>129</v>
      </c>
      <c r="H22" s="5" t="s">
        <v>635</v>
      </c>
      <c r="I22" s="5" t="s">
        <v>60</v>
      </c>
      <c r="J22" s="5" t="s">
        <v>447</v>
      </c>
      <c r="K22" s="5">
        <v>2025.0</v>
      </c>
      <c r="L22" s="5" t="s">
        <v>272</v>
      </c>
      <c r="M22" s="15">
        <v>46301.0</v>
      </c>
      <c r="N22" s="5" t="s">
        <v>169</v>
      </c>
      <c r="O22" s="5" t="s">
        <v>171</v>
      </c>
      <c r="P22" s="5" t="s">
        <v>172</v>
      </c>
    </row>
    <row r="23" ht="15.75" customHeight="1">
      <c r="A23" s="5" t="s">
        <v>641</v>
      </c>
      <c r="B23" s="5" t="s">
        <v>644</v>
      </c>
      <c r="C23" s="5" t="s">
        <v>79</v>
      </c>
      <c r="D23" s="5" t="s">
        <v>85</v>
      </c>
      <c r="E23" s="12" t="s">
        <v>646</v>
      </c>
      <c r="F23" s="5" t="s">
        <v>124</v>
      </c>
      <c r="G23" s="5" t="s">
        <v>129</v>
      </c>
      <c r="H23" s="5" t="s">
        <v>663</v>
      </c>
      <c r="I23" s="5" t="s">
        <v>60</v>
      </c>
      <c r="J23" s="5" t="s">
        <v>447</v>
      </c>
      <c r="K23" s="5">
        <v>2024.0</v>
      </c>
      <c r="L23" s="5" t="s">
        <v>272</v>
      </c>
      <c r="M23" s="15">
        <v>46301.0</v>
      </c>
      <c r="N23" s="5" t="s">
        <v>169</v>
      </c>
      <c r="O23" s="5" t="s">
        <v>171</v>
      </c>
      <c r="P23" s="5" t="s">
        <v>172</v>
      </c>
    </row>
    <row r="24" ht="15.75" customHeight="1">
      <c r="A24" s="5" t="s">
        <v>668</v>
      </c>
      <c r="B24" s="5" t="s">
        <v>669</v>
      </c>
      <c r="C24" s="5" t="s">
        <v>79</v>
      </c>
      <c r="D24" s="5" t="s">
        <v>85</v>
      </c>
      <c r="E24" s="12" t="s">
        <v>672</v>
      </c>
      <c r="F24" s="5" t="s">
        <v>444</v>
      </c>
      <c r="G24" s="5" t="s">
        <v>129</v>
      </c>
      <c r="H24" s="5" t="s">
        <v>691</v>
      </c>
      <c r="I24" s="5" t="s">
        <v>60</v>
      </c>
      <c r="J24" s="5" t="s">
        <v>447</v>
      </c>
      <c r="K24" s="5">
        <v>2023.0</v>
      </c>
      <c r="L24" s="5" t="s">
        <v>272</v>
      </c>
      <c r="M24" s="15">
        <v>46301.0</v>
      </c>
      <c r="N24" s="5" t="s">
        <v>169</v>
      </c>
      <c r="O24" s="5" t="s">
        <v>171</v>
      </c>
      <c r="P24" s="5" t="s">
        <v>172</v>
      </c>
    </row>
    <row r="25" ht="15.75" customHeight="1">
      <c r="A25" s="5" t="s">
        <v>469</v>
      </c>
      <c r="B25" s="5" t="s">
        <v>699</v>
      </c>
      <c r="C25" s="5" t="s">
        <v>79</v>
      </c>
      <c r="D25" s="5" t="s">
        <v>85</v>
      </c>
      <c r="E25" s="12" t="s">
        <v>701</v>
      </c>
      <c r="F25" s="5" t="s">
        <v>444</v>
      </c>
      <c r="G25" s="5" t="s">
        <v>129</v>
      </c>
      <c r="H25" s="5" t="s">
        <v>718</v>
      </c>
      <c r="I25" s="5" t="s">
        <v>60</v>
      </c>
      <c r="J25" s="5" t="s">
        <v>447</v>
      </c>
      <c r="K25" s="5" t="s">
        <v>721</v>
      </c>
      <c r="L25" s="5" t="s">
        <v>272</v>
      </c>
      <c r="M25" s="15">
        <v>46301.0</v>
      </c>
      <c r="N25" s="5" t="s">
        <v>169</v>
      </c>
      <c r="O25" s="5" t="s">
        <v>171</v>
      </c>
      <c r="P25" s="5" t="s">
        <v>172</v>
      </c>
    </row>
    <row r="26" ht="15.75" customHeight="1">
      <c r="A26" s="5" t="s">
        <v>725</v>
      </c>
      <c r="B26" s="5" t="s">
        <v>726</v>
      </c>
      <c r="C26" s="5" t="s">
        <v>79</v>
      </c>
      <c r="D26" s="5" t="s">
        <v>85</v>
      </c>
      <c r="E26" s="12" t="s">
        <v>729</v>
      </c>
      <c r="F26" s="5" t="s">
        <v>444</v>
      </c>
      <c r="G26" s="5" t="s">
        <v>129</v>
      </c>
      <c r="H26" s="5" t="s">
        <v>740</v>
      </c>
      <c r="I26" s="5" t="s">
        <v>60</v>
      </c>
      <c r="J26" s="5" t="s">
        <v>447</v>
      </c>
      <c r="K26" s="5">
        <v>2025.0</v>
      </c>
      <c r="L26" s="5" t="s">
        <v>744</v>
      </c>
      <c r="M26" s="15">
        <v>46301.0</v>
      </c>
      <c r="N26" s="5" t="s">
        <v>169</v>
      </c>
      <c r="O26" s="5" t="s">
        <v>171</v>
      </c>
      <c r="P26" s="5" t="s">
        <v>172</v>
      </c>
    </row>
    <row r="27" ht="15.75" customHeight="1">
      <c r="A27" s="5" t="s">
        <v>748</v>
      </c>
      <c r="B27" s="5" t="s">
        <v>751</v>
      </c>
      <c r="C27" s="5" t="s">
        <v>79</v>
      </c>
      <c r="D27" s="5" t="s">
        <v>85</v>
      </c>
      <c r="E27" s="12" t="s">
        <v>753</v>
      </c>
      <c r="F27" s="5" t="s">
        <v>124</v>
      </c>
      <c r="G27" s="5" t="s">
        <v>129</v>
      </c>
      <c r="H27" s="5" t="s">
        <v>768</v>
      </c>
      <c r="I27" s="5" t="s">
        <v>60</v>
      </c>
      <c r="J27" s="5" t="s">
        <v>447</v>
      </c>
      <c r="K27" s="5">
        <v>2021.0</v>
      </c>
      <c r="L27" s="5" t="s">
        <v>744</v>
      </c>
      <c r="M27" s="15">
        <v>46301.0</v>
      </c>
      <c r="N27" s="5" t="s">
        <v>169</v>
      </c>
      <c r="O27" s="5" t="s">
        <v>171</v>
      </c>
      <c r="P27" s="5" t="s">
        <v>172</v>
      </c>
    </row>
    <row r="28" ht="15.75" customHeight="1">
      <c r="A28" s="5" t="s">
        <v>769</v>
      </c>
      <c r="B28" s="5" t="s">
        <v>770</v>
      </c>
      <c r="C28" s="5" t="s">
        <v>79</v>
      </c>
      <c r="D28" s="5" t="s">
        <v>85</v>
      </c>
      <c r="E28" s="12" t="s">
        <v>771</v>
      </c>
      <c r="F28" s="5" t="s">
        <v>124</v>
      </c>
      <c r="G28" s="5" t="s">
        <v>129</v>
      </c>
      <c r="H28" s="5" t="s">
        <v>781</v>
      </c>
      <c r="I28" s="5" t="s">
        <v>60</v>
      </c>
      <c r="J28" s="5" t="s">
        <v>447</v>
      </c>
      <c r="K28" s="5">
        <v>2017.0</v>
      </c>
      <c r="L28" s="5" t="s">
        <v>744</v>
      </c>
      <c r="M28" s="15">
        <v>46301.0</v>
      </c>
      <c r="N28" s="5" t="s">
        <v>169</v>
      </c>
      <c r="O28" s="5" t="s">
        <v>171</v>
      </c>
      <c r="P28" s="5" t="s">
        <v>172</v>
      </c>
    </row>
    <row r="29" ht="15.75" customHeight="1">
      <c r="A29" s="5" t="s">
        <v>784</v>
      </c>
      <c r="B29" s="5" t="s">
        <v>785</v>
      </c>
      <c r="C29" s="5" t="s">
        <v>79</v>
      </c>
      <c r="D29" s="5" t="s">
        <v>85</v>
      </c>
      <c r="E29" s="12" t="s">
        <v>788</v>
      </c>
      <c r="F29" s="5" t="s">
        <v>124</v>
      </c>
      <c r="G29" s="5" t="s">
        <v>129</v>
      </c>
      <c r="H29" s="5" t="s">
        <v>796</v>
      </c>
      <c r="I29" s="5" t="s">
        <v>60</v>
      </c>
      <c r="J29" s="5" t="s">
        <v>797</v>
      </c>
      <c r="K29" s="5">
        <v>2020.0</v>
      </c>
      <c r="L29" s="5" t="s">
        <v>798</v>
      </c>
      <c r="M29" s="15">
        <v>46301.0</v>
      </c>
      <c r="N29" s="5" t="s">
        <v>169</v>
      </c>
      <c r="O29" s="5" t="s">
        <v>171</v>
      </c>
      <c r="P29" s="5" t="s">
        <v>172</v>
      </c>
    </row>
    <row r="30" ht="15.75" customHeight="1">
      <c r="A30" s="5" t="s">
        <v>801</v>
      </c>
      <c r="B30" s="5" t="s">
        <v>802</v>
      </c>
      <c r="C30" s="5" t="s">
        <v>79</v>
      </c>
      <c r="D30" s="5" t="s">
        <v>85</v>
      </c>
      <c r="E30" s="12" t="s">
        <v>804</v>
      </c>
      <c r="F30" s="5" t="s">
        <v>124</v>
      </c>
      <c r="G30" s="5" t="s">
        <v>129</v>
      </c>
      <c r="H30" s="5" t="s">
        <v>816</v>
      </c>
      <c r="I30" s="5" t="s">
        <v>60</v>
      </c>
      <c r="J30" s="5" t="s">
        <v>797</v>
      </c>
      <c r="K30" s="5">
        <v>2015.0</v>
      </c>
      <c r="L30" s="5" t="s">
        <v>798</v>
      </c>
      <c r="M30" s="15">
        <v>46301.0</v>
      </c>
      <c r="N30" s="5" t="s">
        <v>169</v>
      </c>
      <c r="O30" s="5" t="s">
        <v>171</v>
      </c>
      <c r="P30" s="5" t="s">
        <v>172</v>
      </c>
    </row>
    <row r="31" ht="15.75" customHeight="1">
      <c r="A31" s="5" t="s">
        <v>818</v>
      </c>
      <c r="B31" s="5" t="s">
        <v>819</v>
      </c>
      <c r="C31" s="5" t="s">
        <v>79</v>
      </c>
      <c r="D31" s="5" t="s">
        <v>85</v>
      </c>
      <c r="E31" s="12" t="s">
        <v>821</v>
      </c>
      <c r="F31" s="5" t="s">
        <v>124</v>
      </c>
      <c r="G31" s="5" t="s">
        <v>129</v>
      </c>
      <c r="H31" s="5" t="s">
        <v>831</v>
      </c>
      <c r="I31" s="5" t="s">
        <v>60</v>
      </c>
      <c r="J31" s="5" t="s">
        <v>797</v>
      </c>
      <c r="K31" s="5">
        <v>2010.0</v>
      </c>
      <c r="L31" s="5" t="s">
        <v>798</v>
      </c>
      <c r="M31" s="15">
        <v>46301.0</v>
      </c>
      <c r="N31" s="5" t="s">
        <v>169</v>
      </c>
      <c r="O31" s="5" t="s">
        <v>171</v>
      </c>
      <c r="P31" s="5" t="s">
        <v>172</v>
      </c>
    </row>
    <row r="32" ht="15.75" customHeight="1">
      <c r="A32" s="5" t="s">
        <v>570</v>
      </c>
      <c r="B32" s="5" t="s">
        <v>839</v>
      </c>
      <c r="C32" s="5" t="s">
        <v>79</v>
      </c>
      <c r="D32" s="5" t="s">
        <v>85</v>
      </c>
      <c r="E32" s="12" t="s">
        <v>841</v>
      </c>
      <c r="F32" s="5" t="s">
        <v>444</v>
      </c>
      <c r="G32" s="5" t="s">
        <v>129</v>
      </c>
      <c r="H32" s="5" t="s">
        <v>851</v>
      </c>
      <c r="I32" s="5" t="s">
        <v>60</v>
      </c>
      <c r="J32" s="5" t="s">
        <v>270</v>
      </c>
      <c r="K32" s="5" t="s">
        <v>854</v>
      </c>
      <c r="L32" s="5" t="s">
        <v>272</v>
      </c>
      <c r="M32" s="15">
        <v>46301.0</v>
      </c>
      <c r="N32" s="5" t="s">
        <v>169</v>
      </c>
      <c r="O32" s="5" t="s">
        <v>171</v>
      </c>
      <c r="P32" s="5" t="s">
        <v>172</v>
      </c>
    </row>
    <row r="33" ht="15.75" customHeight="1">
      <c r="A33" s="5" t="s">
        <v>581</v>
      </c>
      <c r="B33" s="5" t="s">
        <v>857</v>
      </c>
      <c r="C33" s="5" t="s">
        <v>858</v>
      </c>
      <c r="D33" s="5" t="s">
        <v>85</v>
      </c>
      <c r="E33" s="12" t="s">
        <v>862</v>
      </c>
      <c r="F33" s="5" t="s">
        <v>866</v>
      </c>
      <c r="G33" s="5" t="s">
        <v>867</v>
      </c>
      <c r="H33" s="5" t="s">
        <v>868</v>
      </c>
      <c r="I33" s="5" t="s">
        <v>60</v>
      </c>
      <c r="J33" s="5" t="s">
        <v>270</v>
      </c>
      <c r="K33" s="5" t="s">
        <v>869</v>
      </c>
      <c r="L33" s="5" t="s">
        <v>870</v>
      </c>
      <c r="M33" s="15">
        <v>46301.0</v>
      </c>
      <c r="N33" s="5" t="s">
        <v>169</v>
      </c>
      <c r="O33" s="5" t="s">
        <v>871</v>
      </c>
      <c r="P33" s="5" t="s">
        <v>872</v>
      </c>
    </row>
    <row r="34" ht="15.75" customHeight="1">
      <c r="A34" s="5" t="s">
        <v>622</v>
      </c>
      <c r="B34" s="5" t="s">
        <v>873</v>
      </c>
      <c r="C34" s="5" t="s">
        <v>858</v>
      </c>
      <c r="D34" s="5" t="s">
        <v>85</v>
      </c>
      <c r="E34" s="12" t="s">
        <v>874</v>
      </c>
      <c r="F34" s="5" t="s">
        <v>866</v>
      </c>
      <c r="G34" s="5" t="s">
        <v>867</v>
      </c>
      <c r="H34" s="5" t="s">
        <v>868</v>
      </c>
      <c r="I34" s="5" t="s">
        <v>60</v>
      </c>
      <c r="J34" s="5" t="s">
        <v>270</v>
      </c>
      <c r="K34" s="5" t="s">
        <v>869</v>
      </c>
      <c r="L34" s="5" t="s">
        <v>870</v>
      </c>
      <c r="M34" s="15">
        <v>46301.0</v>
      </c>
      <c r="N34" s="5" t="s">
        <v>169</v>
      </c>
      <c r="O34" s="5" t="s">
        <v>871</v>
      </c>
      <c r="P34" s="5" t="s">
        <v>872</v>
      </c>
    </row>
    <row r="35" ht="15.75" customHeight="1">
      <c r="A35" s="5" t="s">
        <v>639</v>
      </c>
      <c r="B35" s="5" t="s">
        <v>875</v>
      </c>
      <c r="C35" s="5" t="s">
        <v>876</v>
      </c>
      <c r="D35" s="5" t="s">
        <v>85</v>
      </c>
      <c r="E35" s="12" t="s">
        <v>877</v>
      </c>
      <c r="F35" s="5" t="s">
        <v>866</v>
      </c>
      <c r="G35" s="5" t="s">
        <v>867</v>
      </c>
      <c r="H35" s="5" t="s">
        <v>868</v>
      </c>
      <c r="I35" s="5" t="s">
        <v>60</v>
      </c>
      <c r="J35" s="5" t="s">
        <v>270</v>
      </c>
      <c r="K35" s="5" t="s">
        <v>869</v>
      </c>
      <c r="L35" s="5" t="s">
        <v>878</v>
      </c>
      <c r="M35" s="15">
        <v>46301.0</v>
      </c>
      <c r="N35" s="5" t="s">
        <v>169</v>
      </c>
      <c r="O35" s="5" t="s">
        <v>871</v>
      </c>
      <c r="P35" s="5" t="s">
        <v>872</v>
      </c>
    </row>
    <row r="36" ht="15.75" customHeight="1">
      <c r="A36" s="5" t="s">
        <v>655</v>
      </c>
      <c r="B36" s="5" t="s">
        <v>879</v>
      </c>
      <c r="C36" s="5" t="s">
        <v>880</v>
      </c>
      <c r="D36" s="5" t="s">
        <v>85</v>
      </c>
      <c r="E36" s="12" t="s">
        <v>881</v>
      </c>
      <c r="F36" s="5" t="s">
        <v>866</v>
      </c>
      <c r="G36" s="5" t="s">
        <v>867</v>
      </c>
      <c r="H36" s="5" t="s">
        <v>868</v>
      </c>
      <c r="I36" s="5" t="s">
        <v>60</v>
      </c>
      <c r="J36" s="5" t="s">
        <v>270</v>
      </c>
      <c r="K36" s="5" t="s">
        <v>869</v>
      </c>
      <c r="L36" s="5" t="s">
        <v>870</v>
      </c>
      <c r="M36" s="15">
        <v>46301.0</v>
      </c>
      <c r="N36" s="5" t="s">
        <v>169</v>
      </c>
      <c r="O36" s="5" t="s">
        <v>871</v>
      </c>
      <c r="P36" s="5" t="s">
        <v>872</v>
      </c>
    </row>
    <row r="37" ht="15.75" customHeight="1">
      <c r="A37" s="5" t="s">
        <v>882</v>
      </c>
      <c r="B37" s="5" t="s">
        <v>883</v>
      </c>
      <c r="C37" s="5" t="s">
        <v>884</v>
      </c>
      <c r="D37" s="5" t="s">
        <v>85</v>
      </c>
      <c r="E37" s="12" t="s">
        <v>885</v>
      </c>
      <c r="F37" s="5" t="s">
        <v>866</v>
      </c>
      <c r="G37" s="5" t="s">
        <v>867</v>
      </c>
      <c r="H37" s="5" t="s">
        <v>868</v>
      </c>
      <c r="I37" s="5" t="s">
        <v>60</v>
      </c>
      <c r="J37" s="5" t="s">
        <v>270</v>
      </c>
      <c r="K37" s="5" t="s">
        <v>869</v>
      </c>
      <c r="L37" s="7"/>
      <c r="M37" s="15">
        <v>46301.0</v>
      </c>
      <c r="N37" s="5" t="s">
        <v>169</v>
      </c>
      <c r="O37" s="5" t="s">
        <v>871</v>
      </c>
      <c r="P37" s="5" t="s">
        <v>872</v>
      </c>
    </row>
    <row r="38" ht="15.75" customHeight="1">
      <c r="A38" s="5" t="s">
        <v>886</v>
      </c>
      <c r="B38" s="5" t="s">
        <v>887</v>
      </c>
      <c r="C38" s="5" t="s">
        <v>884</v>
      </c>
      <c r="D38" s="5" t="s">
        <v>85</v>
      </c>
      <c r="E38" s="16" t="s">
        <v>888</v>
      </c>
      <c r="F38" s="5" t="s">
        <v>866</v>
      </c>
      <c r="G38" s="5" t="s">
        <v>867</v>
      </c>
      <c r="H38" s="5" t="s">
        <v>868</v>
      </c>
      <c r="I38" s="5" t="s">
        <v>60</v>
      </c>
      <c r="J38" s="5" t="s">
        <v>270</v>
      </c>
      <c r="K38" s="5" t="s">
        <v>869</v>
      </c>
      <c r="L38" s="7"/>
      <c r="M38" s="15">
        <v>46301.0</v>
      </c>
      <c r="N38" s="5" t="s">
        <v>169</v>
      </c>
      <c r="O38" s="5" t="s">
        <v>871</v>
      </c>
      <c r="P38" s="5" t="s">
        <v>872</v>
      </c>
    </row>
    <row r="39" ht="15.75" customHeight="1">
      <c r="A39" s="5" t="s">
        <v>730</v>
      </c>
      <c r="B39" s="5" t="s">
        <v>889</v>
      </c>
      <c r="C39" s="5" t="s">
        <v>890</v>
      </c>
      <c r="D39" s="5" t="s">
        <v>85</v>
      </c>
      <c r="E39" s="12" t="s">
        <v>891</v>
      </c>
      <c r="F39" s="5" t="s">
        <v>866</v>
      </c>
      <c r="G39" s="5" t="s">
        <v>867</v>
      </c>
      <c r="H39" s="5" t="s">
        <v>868</v>
      </c>
      <c r="I39" s="5" t="s">
        <v>60</v>
      </c>
      <c r="J39" s="5" t="s">
        <v>270</v>
      </c>
      <c r="K39" s="5" t="s">
        <v>869</v>
      </c>
      <c r="L39" s="5" t="s">
        <v>878</v>
      </c>
      <c r="M39" s="15">
        <v>46301.0</v>
      </c>
      <c r="N39" s="5" t="s">
        <v>169</v>
      </c>
      <c r="O39" s="5" t="s">
        <v>871</v>
      </c>
      <c r="P39" s="5" t="s">
        <v>872</v>
      </c>
    </row>
    <row r="40" ht="15.75" customHeight="1">
      <c r="A40" s="5" t="s">
        <v>747</v>
      </c>
      <c r="B40" s="5" t="s">
        <v>892</v>
      </c>
      <c r="C40" s="5" t="s">
        <v>893</v>
      </c>
      <c r="D40" s="5" t="s">
        <v>85</v>
      </c>
      <c r="E40" s="12" t="s">
        <v>894</v>
      </c>
      <c r="F40" s="5" t="s">
        <v>866</v>
      </c>
      <c r="G40" s="5" t="s">
        <v>867</v>
      </c>
      <c r="H40" s="5" t="s">
        <v>868</v>
      </c>
      <c r="I40" s="5" t="s">
        <v>60</v>
      </c>
      <c r="J40" s="5" t="s">
        <v>270</v>
      </c>
      <c r="K40" s="5" t="s">
        <v>869</v>
      </c>
      <c r="L40" s="5" t="s">
        <v>878</v>
      </c>
      <c r="M40" s="15">
        <v>46301.0</v>
      </c>
      <c r="N40" s="5" t="s">
        <v>169</v>
      </c>
      <c r="O40" s="5" t="s">
        <v>871</v>
      </c>
      <c r="P40" s="5" t="s">
        <v>872</v>
      </c>
    </row>
    <row r="41" ht="15.75" customHeight="1">
      <c r="A41" s="5" t="s">
        <v>895</v>
      </c>
      <c r="B41" s="5" t="s">
        <v>896</v>
      </c>
      <c r="C41" s="5" t="s">
        <v>890</v>
      </c>
      <c r="D41" s="5" t="s">
        <v>85</v>
      </c>
      <c r="E41" s="16" t="s">
        <v>897</v>
      </c>
      <c r="F41" s="5" t="s">
        <v>866</v>
      </c>
      <c r="G41" s="5" t="s">
        <v>867</v>
      </c>
      <c r="H41" s="5" t="s">
        <v>868</v>
      </c>
      <c r="I41" s="5" t="s">
        <v>60</v>
      </c>
      <c r="J41" s="5" t="s">
        <v>270</v>
      </c>
      <c r="K41" s="5" t="s">
        <v>869</v>
      </c>
      <c r="L41" s="5" t="s">
        <v>878</v>
      </c>
      <c r="M41" s="15">
        <v>46301.0</v>
      </c>
      <c r="N41" s="5" t="s">
        <v>169</v>
      </c>
      <c r="O41" s="5" t="s">
        <v>871</v>
      </c>
      <c r="P41" s="5" t="s">
        <v>872</v>
      </c>
    </row>
    <row r="42" ht="15.75" customHeight="1">
      <c r="A42" s="5" t="s">
        <v>766</v>
      </c>
      <c r="B42" s="5" t="s">
        <v>898</v>
      </c>
      <c r="C42" s="5" t="s">
        <v>899</v>
      </c>
      <c r="D42" s="5" t="s">
        <v>85</v>
      </c>
      <c r="E42" s="12" t="s">
        <v>900</v>
      </c>
      <c r="F42" s="5" t="s">
        <v>866</v>
      </c>
      <c r="G42" s="5" t="s">
        <v>867</v>
      </c>
      <c r="H42" s="5" t="s">
        <v>868</v>
      </c>
      <c r="I42" s="5" t="s">
        <v>60</v>
      </c>
      <c r="J42" s="5" t="s">
        <v>270</v>
      </c>
      <c r="K42" s="5" t="s">
        <v>869</v>
      </c>
      <c r="L42" s="5" t="s">
        <v>272</v>
      </c>
      <c r="M42" s="15">
        <v>46301.0</v>
      </c>
      <c r="N42" s="5" t="s">
        <v>421</v>
      </c>
      <c r="O42" s="5" t="s">
        <v>871</v>
      </c>
      <c r="P42" s="5" t="s">
        <v>901</v>
      </c>
    </row>
    <row r="43" ht="15.75" customHeight="1">
      <c r="A43" s="5" t="s">
        <v>902</v>
      </c>
      <c r="B43" s="5" t="s">
        <v>903</v>
      </c>
      <c r="C43" s="5" t="s">
        <v>890</v>
      </c>
      <c r="D43" s="5" t="s">
        <v>85</v>
      </c>
      <c r="E43" s="16" t="s">
        <v>904</v>
      </c>
      <c r="F43" s="5" t="s">
        <v>866</v>
      </c>
      <c r="G43" s="5" t="s">
        <v>867</v>
      </c>
      <c r="H43" s="5" t="s">
        <v>868</v>
      </c>
      <c r="I43" s="5" t="s">
        <v>60</v>
      </c>
      <c r="J43" s="5" t="s">
        <v>270</v>
      </c>
      <c r="K43" s="5" t="s">
        <v>869</v>
      </c>
      <c r="L43" s="5" t="s">
        <v>272</v>
      </c>
      <c r="M43" s="15">
        <v>46301.0</v>
      </c>
      <c r="N43" s="5" t="s">
        <v>169</v>
      </c>
      <c r="O43" s="5" t="s">
        <v>871</v>
      </c>
      <c r="P43" s="5" t="s">
        <v>872</v>
      </c>
    </row>
    <row r="44" ht="15.75" customHeight="1">
      <c r="A44" s="5" t="s">
        <v>905</v>
      </c>
      <c r="B44" s="5" t="s">
        <v>906</v>
      </c>
      <c r="C44" s="5" t="s">
        <v>890</v>
      </c>
      <c r="D44" s="5" t="s">
        <v>85</v>
      </c>
      <c r="E44" s="16" t="s">
        <v>907</v>
      </c>
      <c r="F44" s="5" t="s">
        <v>866</v>
      </c>
      <c r="G44" s="5" t="s">
        <v>867</v>
      </c>
      <c r="H44" s="5" t="s">
        <v>868</v>
      </c>
      <c r="I44" s="5" t="s">
        <v>60</v>
      </c>
      <c r="J44" s="5" t="s">
        <v>270</v>
      </c>
      <c r="K44" s="5" t="s">
        <v>869</v>
      </c>
      <c r="L44" s="5" t="s">
        <v>272</v>
      </c>
      <c r="M44" s="15">
        <v>46301.0</v>
      </c>
      <c r="N44" s="5" t="s">
        <v>169</v>
      </c>
      <c r="O44" s="5" t="s">
        <v>871</v>
      </c>
      <c r="P44" s="5" t="s">
        <v>872</v>
      </c>
    </row>
    <row r="45" ht="15.75" customHeight="1">
      <c r="A45" s="5" t="s">
        <v>832</v>
      </c>
      <c r="B45" s="5" t="s">
        <v>908</v>
      </c>
      <c r="C45" s="5" t="s">
        <v>909</v>
      </c>
      <c r="D45" s="5" t="s">
        <v>85</v>
      </c>
      <c r="E45" s="16" t="s">
        <v>910</v>
      </c>
      <c r="F45" s="5" t="s">
        <v>866</v>
      </c>
      <c r="G45" s="5" t="s">
        <v>867</v>
      </c>
      <c r="H45" s="5" t="s">
        <v>868</v>
      </c>
      <c r="I45" s="5" t="s">
        <v>60</v>
      </c>
      <c r="J45" s="5" t="s">
        <v>270</v>
      </c>
      <c r="K45" s="5" t="s">
        <v>869</v>
      </c>
      <c r="L45" s="5" t="s">
        <v>878</v>
      </c>
      <c r="M45" s="15">
        <v>46302.0</v>
      </c>
      <c r="N45" s="5" t="s">
        <v>169</v>
      </c>
      <c r="O45" s="5" t="s">
        <v>871</v>
      </c>
      <c r="P45" s="5" t="s">
        <v>872</v>
      </c>
    </row>
    <row r="46" ht="15.75" customHeight="1">
      <c r="A46" s="5" t="s">
        <v>911</v>
      </c>
      <c r="B46" s="5"/>
      <c r="C46" s="5"/>
      <c r="D46" s="5"/>
      <c r="E46" s="30"/>
      <c r="F46" s="5"/>
      <c r="G46" s="5"/>
      <c r="H46" s="5"/>
      <c r="I46" s="5"/>
      <c r="J46" s="5"/>
      <c r="K46" s="5"/>
      <c r="L46" s="5"/>
      <c r="M46" s="15"/>
      <c r="N46" s="5"/>
      <c r="O46" s="5"/>
      <c r="P46" s="5"/>
    </row>
    <row r="47" ht="15.75" customHeight="1">
      <c r="A47" s="5" t="s">
        <v>912</v>
      </c>
      <c r="B47" s="5"/>
      <c r="C47" s="5"/>
      <c r="D47" s="5"/>
      <c r="E47" s="30"/>
      <c r="F47" s="5"/>
      <c r="G47" s="5"/>
      <c r="H47" s="5"/>
      <c r="I47" s="5"/>
      <c r="J47" s="5"/>
      <c r="K47" s="5"/>
      <c r="L47" s="5"/>
      <c r="M47" s="15"/>
      <c r="N47" s="5"/>
      <c r="O47" s="5"/>
      <c r="P47" s="5"/>
    </row>
    <row r="48" ht="15.75" customHeight="1">
      <c r="A48" s="5" t="s">
        <v>913</v>
      </c>
      <c r="B48" s="5"/>
      <c r="C48" s="5"/>
      <c r="D48" s="5"/>
      <c r="E48" s="30"/>
      <c r="F48" s="5"/>
      <c r="G48" s="5"/>
      <c r="H48" s="5"/>
      <c r="I48" s="5"/>
      <c r="J48" s="5"/>
      <c r="K48" s="5"/>
      <c r="L48" s="5"/>
      <c r="M48" s="15"/>
      <c r="N48" s="5"/>
      <c r="O48" s="5"/>
      <c r="P48" s="5"/>
    </row>
    <row r="49" ht="15.75" customHeight="1">
      <c r="A49" s="5" t="s">
        <v>914</v>
      </c>
      <c r="B49" s="5"/>
      <c r="C49" s="5"/>
      <c r="D49" s="5"/>
      <c r="E49" s="30"/>
      <c r="F49" s="5"/>
      <c r="G49" s="5"/>
      <c r="H49" s="5"/>
      <c r="I49" s="5"/>
      <c r="J49" s="5"/>
      <c r="K49" s="5"/>
      <c r="L49" s="5"/>
      <c r="M49" s="15"/>
      <c r="N49" s="5"/>
      <c r="O49" s="5"/>
      <c r="P49" s="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L5:L49">
      <formula1>"Tiempo real,Diaria,Mensual,Trimestral,Anual,Única vez,No se sabe,Decenal,Eventual/Anual,Eventual/Quinquenal"</formula1>
    </dataValidation>
    <dataValidation type="list" allowBlank="1" sqref="D5:D49">
      <formula1>"Entidad pública,Academia u ONG,Plataforma colaborativa,Empresa privada,Medio de comunicación,No se sabe"</formula1>
    </dataValidation>
    <dataValidation type="list" allowBlank="1" sqref="N5:N49">
      <formula1>"Integrada al lago,Candidata,No responde,No existe (la inventó la IA),Descartada"</formula1>
    </dataValidation>
    <dataValidation type="list" allowBlank="1" sqref="G33:G49">
      <formula1>"API sin llave,API con llave gratuita,Descarga directa,Solo PDF o página,Bloquea scripts o pide sesión,Geosampa, Panel de capas → Download → GeoJSON"</formula1>
    </dataValidation>
    <dataValidation type="list" allowBlank="1" sqref="I5:I49">
      <formula1>"No,Solo conteos por zona,Personas identificables,Texto libre sin revisar"</formula1>
    </dataValidation>
    <dataValidation type="list" allowBlank="1" sqref="F5:F49">
      <formula1>"CSV,JSON,XLSX,Parquet,GeoJSON,Shapefile,PDF,Página web,Otro,XLS"</formula1>
    </dataValidation>
    <dataValidation type="list" allowBlank="1" sqref="G5:G32">
      <formula1>"API sin llave,API con llave gratuita,Descarga directa,Solo PDF o página,Bloquea scripts o pide sesión"</formula1>
    </dataValidation>
  </dataValidation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location="/metadata/a9620922-1f1a-474f-ae67-a6c961e0864d" ref="E33"/>
    <hyperlink r:id="rId30" location="/metadata/6f855861-ad76-4905-b3e4-93203ed05b2c" ref="E34"/>
    <hyperlink r:id="rId31" location="/metadata/bf6a655a-245e-40b5-9cb3-61666d4a5990" ref="E35"/>
    <hyperlink r:id="rId32" location="/metadata/cc8970eb-fbb2-4671-b9aa-0ea7f0faa1d7" ref="E36"/>
    <hyperlink r:id="rId33" location="/metadata/221201d2-c261-4f8f-baa0-27d87c56e66d" ref="E37"/>
    <hyperlink r:id="rId34" location="/metadata/f6a2d987-a422-4e29-9a89-b7722620999b" ref="E38"/>
    <hyperlink r:id="rId35" location="/metadata/7f9906d5-2f42-498b-bbd9-06ae41096da1" ref="E39"/>
    <hyperlink r:id="rId36" location="/metadata/2ddfddf7-f9e1-4c61-bd1a-f9ed78ae948a" ref="E40"/>
    <hyperlink r:id="rId37" location="/metadata/0905b1f1-e2d5-4274-8909-feed415f87cf" ref="E41"/>
    <hyperlink r:id="rId38" location="/metadata/02aa4efa-c7ca-4a26-9b0e-810528263713" ref="E42"/>
    <hyperlink r:id="rId39" location="/metadata/b169589b-ec51-4b5c-a944-d5cf6887efdc" ref="E43"/>
    <hyperlink r:id="rId40" location="/metadata/c6ec4473-7c4b-4f97-8bbf-787c3f7b7055" ref="E44"/>
    <hyperlink r:id="rId41" location="/metadata/75b0f795-c31c-4e3c-a1b8-5875e9ef3ae9" ref="E45"/>
  </hyperlinks>
  <printOptions/>
  <pageMargins bottom="1.0" footer="0.0" header="0.0" left="0.75" right="0.75" top="1.0"/>
  <pageSetup orientation="landscape"/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22.0"/>
    <col customWidth="1" min="4" max="4" width="20.0"/>
    <col customWidth="1" min="5" max="5" width="37.0"/>
    <col customWidth="1" min="6" max="6" width="12.0"/>
    <col customWidth="1" min="7" max="7" width="16.0"/>
    <col customWidth="1" min="8" max="8" width="14.0"/>
    <col customWidth="1" min="9" max="9" width="11.0"/>
    <col customWidth="1" min="10" max="10" width="22.0"/>
    <col customWidth="1" min="11" max="11" width="16.0"/>
    <col customWidth="1" min="12" max="12" width="28.0"/>
    <col customWidth="1" min="13" max="13" width="32.0"/>
    <col customWidth="1" min="14" max="26" width="8.86"/>
  </cols>
  <sheetData>
    <row r="1">
      <c r="A1" s="1" t="s">
        <v>2</v>
      </c>
    </row>
    <row r="2">
      <c r="A2" s="2" t="s">
        <v>5</v>
      </c>
    </row>
    <row r="3" ht="42.0" customHeight="1">
      <c r="A3" s="3" t="s">
        <v>6</v>
      </c>
      <c r="B3" s="3" t="s">
        <v>11</v>
      </c>
      <c r="C3" s="3" t="s">
        <v>14</v>
      </c>
      <c r="D3" s="3" t="s">
        <v>18</v>
      </c>
      <c r="E3" s="3" t="s">
        <v>21</v>
      </c>
      <c r="F3" s="3" t="s">
        <v>25</v>
      </c>
      <c r="G3" s="3" t="s">
        <v>28</v>
      </c>
      <c r="H3" s="3" t="s">
        <v>30</v>
      </c>
      <c r="I3" s="3" t="s">
        <v>34</v>
      </c>
      <c r="J3" s="3" t="s">
        <v>36</v>
      </c>
      <c r="K3" s="3" t="s">
        <v>38</v>
      </c>
      <c r="L3" s="3" t="s">
        <v>41</v>
      </c>
      <c r="M3" s="3" t="s">
        <v>42</v>
      </c>
    </row>
    <row r="4">
      <c r="A4" s="4" t="s">
        <v>43</v>
      </c>
      <c r="B4" s="4" t="s">
        <v>53</v>
      </c>
      <c r="C4" s="4" t="s">
        <v>56</v>
      </c>
      <c r="D4" s="4" t="s">
        <v>58</v>
      </c>
      <c r="E4" s="4" t="s">
        <v>61</v>
      </c>
      <c r="F4" s="4" t="s">
        <v>64</v>
      </c>
      <c r="G4" s="4" t="s">
        <v>66</v>
      </c>
      <c r="H4" s="4" t="s">
        <v>68</v>
      </c>
      <c r="I4" s="4" t="s">
        <v>60</v>
      </c>
      <c r="J4" s="4" t="s">
        <v>72</v>
      </c>
      <c r="K4" s="4" t="s">
        <v>73</v>
      </c>
      <c r="L4" s="4" t="s">
        <v>75</v>
      </c>
      <c r="M4" s="4" t="s">
        <v>78</v>
      </c>
    </row>
    <row r="5">
      <c r="A5" s="5" t="s">
        <v>43</v>
      </c>
      <c r="B5" s="6" t="s">
        <v>81</v>
      </c>
      <c r="C5" s="6" t="s">
        <v>82</v>
      </c>
      <c r="D5" s="6" t="s">
        <v>83</v>
      </c>
      <c r="E5" s="6" t="s">
        <v>84</v>
      </c>
      <c r="F5" s="6" t="s">
        <v>64</v>
      </c>
      <c r="G5" s="6" t="s">
        <v>93</v>
      </c>
      <c r="H5" s="6">
        <v>2022.0</v>
      </c>
      <c r="I5" s="6" t="s">
        <v>60</v>
      </c>
      <c r="J5" s="6" t="s">
        <v>96</v>
      </c>
      <c r="K5" s="6" t="s">
        <v>73</v>
      </c>
      <c r="L5" s="6" t="s">
        <v>98</v>
      </c>
      <c r="M5" s="6" t="s">
        <v>99</v>
      </c>
    </row>
    <row r="6">
      <c r="A6" s="5" t="s">
        <v>43</v>
      </c>
      <c r="B6" s="6" t="s">
        <v>81</v>
      </c>
      <c r="C6" s="6" t="s">
        <v>100</v>
      </c>
      <c r="D6" s="6" t="s">
        <v>102</v>
      </c>
      <c r="E6" s="6" t="s">
        <v>103</v>
      </c>
      <c r="F6" s="6" t="s">
        <v>64</v>
      </c>
      <c r="G6" s="6" t="s">
        <v>104</v>
      </c>
      <c r="H6" s="6">
        <v>2.03080756E8</v>
      </c>
      <c r="I6" s="6" t="s">
        <v>60</v>
      </c>
      <c r="J6" s="6" t="s">
        <v>105</v>
      </c>
      <c r="K6" s="6" t="s">
        <v>73</v>
      </c>
      <c r="L6" s="6" t="s">
        <v>106</v>
      </c>
      <c r="M6" s="6" t="s">
        <v>99</v>
      </c>
    </row>
    <row r="7">
      <c r="A7" s="5" t="s">
        <v>43</v>
      </c>
      <c r="B7" s="6" t="s">
        <v>81</v>
      </c>
      <c r="C7" s="6" t="s">
        <v>108</v>
      </c>
      <c r="D7" s="6" t="s">
        <v>109</v>
      </c>
      <c r="E7" s="6" t="s">
        <v>110</v>
      </c>
      <c r="F7" s="6" t="s">
        <v>64</v>
      </c>
      <c r="G7" s="6" t="s">
        <v>104</v>
      </c>
      <c r="H7" s="6">
        <v>4.4411238E7</v>
      </c>
      <c r="I7" s="6" t="s">
        <v>60</v>
      </c>
      <c r="J7" s="6" t="s">
        <v>111</v>
      </c>
      <c r="K7" s="6" t="s">
        <v>73</v>
      </c>
      <c r="L7" s="6" t="s">
        <v>106</v>
      </c>
      <c r="M7" s="6" t="s">
        <v>99</v>
      </c>
    </row>
    <row r="8">
      <c r="A8" s="5" t="s">
        <v>43</v>
      </c>
      <c r="B8" s="6" t="s">
        <v>81</v>
      </c>
      <c r="C8" s="6" t="s">
        <v>113</v>
      </c>
      <c r="D8" s="6" t="s">
        <v>114</v>
      </c>
      <c r="E8" s="6" t="s">
        <v>115</v>
      </c>
      <c r="F8" s="6" t="s">
        <v>64</v>
      </c>
      <c r="G8" s="6" t="s">
        <v>104</v>
      </c>
      <c r="H8" s="6">
        <v>2.073192E7</v>
      </c>
      <c r="I8" s="6" t="s">
        <v>117</v>
      </c>
      <c r="J8" s="6" t="s">
        <v>118</v>
      </c>
      <c r="K8" s="6" t="s">
        <v>73</v>
      </c>
      <c r="L8" s="6" t="s">
        <v>119</v>
      </c>
      <c r="M8" s="6" t="s">
        <v>99</v>
      </c>
    </row>
    <row r="9">
      <c r="A9" s="5" t="s">
        <v>43</v>
      </c>
      <c r="B9" s="6" t="s">
        <v>81</v>
      </c>
      <c r="C9" s="6" t="s">
        <v>121</v>
      </c>
      <c r="D9" s="6" t="s">
        <v>122</v>
      </c>
      <c r="E9" s="6" t="s">
        <v>123</v>
      </c>
      <c r="F9" s="6" t="s">
        <v>64</v>
      </c>
      <c r="G9" s="6" t="s">
        <v>104</v>
      </c>
      <c r="H9" s="6">
        <v>1.1451999E7</v>
      </c>
      <c r="I9" s="6" t="s">
        <v>60</v>
      </c>
      <c r="J9" s="6" t="s">
        <v>127</v>
      </c>
      <c r="K9" s="6" t="s">
        <v>73</v>
      </c>
      <c r="L9" s="6" t="s">
        <v>106</v>
      </c>
      <c r="M9" s="6" t="s">
        <v>99</v>
      </c>
    </row>
    <row r="10">
      <c r="A10" s="5" t="s">
        <v>131</v>
      </c>
      <c r="B10" s="6" t="s">
        <v>133</v>
      </c>
      <c r="C10" s="6" t="s">
        <v>134</v>
      </c>
      <c r="D10" s="6" t="s">
        <v>135</v>
      </c>
      <c r="E10" s="6" t="s">
        <v>136</v>
      </c>
      <c r="F10" s="6" t="s">
        <v>138</v>
      </c>
      <c r="G10" s="6" t="s">
        <v>139</v>
      </c>
      <c r="H10" s="6">
        <v>2.0250101E9</v>
      </c>
      <c r="I10" s="6" t="s">
        <v>60</v>
      </c>
      <c r="J10" s="6" t="s">
        <v>142</v>
      </c>
      <c r="K10" s="6" t="s">
        <v>73</v>
      </c>
      <c r="L10" s="6" t="s">
        <v>144</v>
      </c>
      <c r="M10" s="6" t="s">
        <v>99</v>
      </c>
    </row>
    <row r="11">
      <c r="A11" s="5" t="s">
        <v>131</v>
      </c>
      <c r="B11" s="6" t="s">
        <v>133</v>
      </c>
      <c r="C11" s="6" t="s">
        <v>148</v>
      </c>
      <c r="D11" s="6" t="s">
        <v>58</v>
      </c>
      <c r="E11" s="6" t="s">
        <v>151</v>
      </c>
      <c r="F11" s="6" t="s">
        <v>64</v>
      </c>
      <c r="G11" s="6" t="s">
        <v>153</v>
      </c>
      <c r="H11" s="6">
        <v>61277.0</v>
      </c>
      <c r="I11" s="6" t="s">
        <v>60</v>
      </c>
      <c r="J11" s="6" t="s">
        <v>154</v>
      </c>
      <c r="K11" s="6" t="s">
        <v>73</v>
      </c>
      <c r="L11" s="6" t="s">
        <v>155</v>
      </c>
      <c r="M11" s="6" t="s">
        <v>99</v>
      </c>
    </row>
    <row r="12">
      <c r="A12" s="5" t="s">
        <v>156</v>
      </c>
      <c r="B12" s="6" t="s">
        <v>157</v>
      </c>
      <c r="C12" s="6" t="s">
        <v>158</v>
      </c>
      <c r="D12" s="6" t="s">
        <v>159</v>
      </c>
      <c r="E12" s="6" t="s">
        <v>160</v>
      </c>
      <c r="F12" s="6" t="s">
        <v>161</v>
      </c>
      <c r="G12" s="6" t="s">
        <v>162</v>
      </c>
      <c r="H12" s="6" t="s">
        <v>163</v>
      </c>
      <c r="I12" s="6" t="s">
        <v>60</v>
      </c>
      <c r="J12" s="6" t="s">
        <v>164</v>
      </c>
      <c r="K12" s="6" t="s">
        <v>73</v>
      </c>
      <c r="L12" s="6" t="s">
        <v>165</v>
      </c>
      <c r="M12" s="6" t="s">
        <v>166</v>
      </c>
    </row>
    <row r="13">
      <c r="A13" s="5" t="s">
        <v>156</v>
      </c>
      <c r="B13" s="6" t="s">
        <v>157</v>
      </c>
      <c r="C13" s="6" t="s">
        <v>167</v>
      </c>
      <c r="D13" s="6" t="s">
        <v>168</v>
      </c>
      <c r="E13" s="6" t="s">
        <v>170</v>
      </c>
      <c r="F13" s="6" t="s">
        <v>161</v>
      </c>
      <c r="G13" s="6" t="s">
        <v>162</v>
      </c>
      <c r="H13" s="6" t="s">
        <v>173</v>
      </c>
      <c r="I13" s="6" t="s">
        <v>60</v>
      </c>
      <c r="J13" s="6" t="s">
        <v>176</v>
      </c>
      <c r="K13" s="6" t="s">
        <v>73</v>
      </c>
      <c r="L13" s="6" t="s">
        <v>178</v>
      </c>
      <c r="M13" s="6" t="s">
        <v>166</v>
      </c>
    </row>
    <row r="14">
      <c r="A14" s="5" t="s">
        <v>156</v>
      </c>
      <c r="B14" s="6" t="s">
        <v>157</v>
      </c>
      <c r="C14" s="6" t="s">
        <v>179</v>
      </c>
      <c r="D14" s="6" t="s">
        <v>180</v>
      </c>
      <c r="E14" s="6" t="s">
        <v>181</v>
      </c>
      <c r="F14" s="6" t="s">
        <v>64</v>
      </c>
      <c r="G14" s="6" t="s">
        <v>182</v>
      </c>
      <c r="H14" s="6">
        <v>480.0</v>
      </c>
      <c r="I14" s="6" t="s">
        <v>60</v>
      </c>
      <c r="J14" s="6" t="s">
        <v>183</v>
      </c>
      <c r="K14" s="6" t="s">
        <v>73</v>
      </c>
      <c r="L14" s="6" t="s">
        <v>184</v>
      </c>
      <c r="M14" s="6" t="s">
        <v>166</v>
      </c>
    </row>
    <row r="15">
      <c r="A15" s="5" t="s">
        <v>185</v>
      </c>
      <c r="B15" s="6" t="s">
        <v>186</v>
      </c>
      <c r="C15" s="6" t="s">
        <v>82</v>
      </c>
      <c r="D15" s="6" t="s">
        <v>187</v>
      </c>
      <c r="E15" s="6" t="s">
        <v>188</v>
      </c>
      <c r="F15" s="6" t="s">
        <v>64</v>
      </c>
      <c r="G15" s="6" t="s">
        <v>93</v>
      </c>
      <c r="H15" s="6">
        <v>2024.0</v>
      </c>
      <c r="I15" s="6" t="s">
        <v>60</v>
      </c>
      <c r="J15" s="6" t="s">
        <v>189</v>
      </c>
      <c r="K15" s="6" t="s">
        <v>73</v>
      </c>
      <c r="L15" s="6" t="s">
        <v>190</v>
      </c>
      <c r="M15" s="6"/>
    </row>
    <row r="16">
      <c r="A16" s="5" t="s">
        <v>185</v>
      </c>
      <c r="B16" s="6" t="s">
        <v>186</v>
      </c>
      <c r="C16" s="6" t="s">
        <v>191</v>
      </c>
      <c r="D16" s="6" t="s">
        <v>192</v>
      </c>
      <c r="E16" s="6" t="s">
        <v>193</v>
      </c>
      <c r="F16" s="6" t="s">
        <v>161</v>
      </c>
      <c r="G16" s="6" t="s">
        <v>162</v>
      </c>
      <c r="H16" s="6" t="s">
        <v>194</v>
      </c>
      <c r="I16" s="6" t="s">
        <v>60</v>
      </c>
      <c r="J16" s="6" t="s">
        <v>195</v>
      </c>
      <c r="K16" s="6" t="s">
        <v>73</v>
      </c>
      <c r="L16" s="6" t="s">
        <v>196</v>
      </c>
      <c r="M16" s="6"/>
    </row>
    <row r="17">
      <c r="A17" s="5" t="s">
        <v>185</v>
      </c>
      <c r="B17" s="6" t="s">
        <v>186</v>
      </c>
      <c r="C17" s="6" t="s">
        <v>197</v>
      </c>
      <c r="D17" s="6" t="s">
        <v>198</v>
      </c>
      <c r="E17" s="6" t="s">
        <v>199</v>
      </c>
      <c r="F17" s="6" t="s">
        <v>161</v>
      </c>
      <c r="G17" s="6" t="s">
        <v>162</v>
      </c>
      <c r="H17" s="6" t="s">
        <v>200</v>
      </c>
      <c r="I17" s="6" t="s">
        <v>60</v>
      </c>
      <c r="J17" s="6" t="s">
        <v>201</v>
      </c>
      <c r="K17" s="6" t="s">
        <v>73</v>
      </c>
      <c r="L17" s="6" t="s">
        <v>202</v>
      </c>
      <c r="M17" s="6"/>
    </row>
    <row r="18">
      <c r="A18" s="5" t="s">
        <v>185</v>
      </c>
      <c r="B18" s="6" t="s">
        <v>186</v>
      </c>
      <c r="C18" s="6" t="s">
        <v>204</v>
      </c>
      <c r="D18" s="6" t="s">
        <v>205</v>
      </c>
      <c r="E18" s="6" t="s">
        <v>207</v>
      </c>
      <c r="F18" s="6" t="s">
        <v>208</v>
      </c>
      <c r="G18" s="6" t="s">
        <v>209</v>
      </c>
      <c r="H18" s="6">
        <v>3.949579826706E10</v>
      </c>
      <c r="I18" s="6" t="s">
        <v>117</v>
      </c>
      <c r="J18" s="6" t="s">
        <v>211</v>
      </c>
      <c r="K18" s="6" t="s">
        <v>73</v>
      </c>
      <c r="L18" s="6" t="s">
        <v>212</v>
      </c>
      <c r="M18" s="6"/>
    </row>
    <row r="19">
      <c r="A19" s="5" t="s">
        <v>214</v>
      </c>
      <c r="B19" s="6" t="s">
        <v>215</v>
      </c>
      <c r="C19" s="6" t="s">
        <v>216</v>
      </c>
      <c r="D19" s="6" t="s">
        <v>217</v>
      </c>
      <c r="E19" s="6" t="s">
        <v>218</v>
      </c>
      <c r="F19" s="6" t="s">
        <v>64</v>
      </c>
      <c r="G19" s="6" t="s">
        <v>219</v>
      </c>
      <c r="H19" s="17">
        <v>45717.0</v>
      </c>
      <c r="I19" s="6" t="s">
        <v>60</v>
      </c>
      <c r="J19" s="6" t="s">
        <v>220</v>
      </c>
      <c r="K19" s="6" t="s">
        <v>73</v>
      </c>
      <c r="L19" s="6" t="s">
        <v>221</v>
      </c>
      <c r="M19" s="6" t="s">
        <v>99</v>
      </c>
    </row>
    <row r="20">
      <c r="A20" s="5" t="s">
        <v>214</v>
      </c>
      <c r="B20" s="6" t="s">
        <v>215</v>
      </c>
      <c r="C20" s="6" t="s">
        <v>222</v>
      </c>
      <c r="D20" s="6" t="s">
        <v>223</v>
      </c>
      <c r="E20" s="6" t="s">
        <v>224</v>
      </c>
      <c r="F20" s="6" t="s">
        <v>161</v>
      </c>
      <c r="G20" s="6" t="s">
        <v>162</v>
      </c>
      <c r="H20" s="6">
        <v>210010.0</v>
      </c>
      <c r="I20" s="6" t="s">
        <v>60</v>
      </c>
      <c r="J20" s="6" t="s">
        <v>225</v>
      </c>
      <c r="K20" s="6" t="s">
        <v>73</v>
      </c>
      <c r="L20" s="6" t="s">
        <v>226</v>
      </c>
      <c r="M20" s="6" t="s">
        <v>99</v>
      </c>
    </row>
    <row r="21" ht="15.75" customHeight="1">
      <c r="A21" s="5" t="s">
        <v>214</v>
      </c>
      <c r="B21" s="6" t="s">
        <v>215</v>
      </c>
      <c r="C21" s="6" t="s">
        <v>227</v>
      </c>
      <c r="D21" s="6" t="s">
        <v>228</v>
      </c>
      <c r="E21" s="6" t="s">
        <v>229</v>
      </c>
      <c r="F21" s="6" t="s">
        <v>161</v>
      </c>
      <c r="G21" s="6" t="s">
        <v>162</v>
      </c>
      <c r="H21" s="6" t="s">
        <v>230</v>
      </c>
      <c r="I21" s="6" t="s">
        <v>60</v>
      </c>
      <c r="J21" s="6" t="s">
        <v>162</v>
      </c>
      <c r="K21" s="6" t="s">
        <v>73</v>
      </c>
      <c r="L21" s="6" t="s">
        <v>231</v>
      </c>
      <c r="M21" s="6" t="s">
        <v>99</v>
      </c>
    </row>
    <row r="22" ht="15.75" customHeight="1">
      <c r="A22" s="5" t="s">
        <v>214</v>
      </c>
      <c r="B22" s="6" t="s">
        <v>215</v>
      </c>
      <c r="C22" s="6" t="s">
        <v>232</v>
      </c>
      <c r="D22" s="6" t="s">
        <v>233</v>
      </c>
      <c r="E22" s="6" t="s">
        <v>234</v>
      </c>
      <c r="F22" s="6" t="s">
        <v>161</v>
      </c>
      <c r="G22" s="6" t="s">
        <v>162</v>
      </c>
      <c r="H22" s="6" t="s">
        <v>235</v>
      </c>
      <c r="I22" s="6" t="s">
        <v>60</v>
      </c>
      <c r="J22" s="6" t="s">
        <v>237</v>
      </c>
      <c r="K22" s="6" t="s">
        <v>73</v>
      </c>
      <c r="L22" s="6" t="s">
        <v>162</v>
      </c>
      <c r="M22" s="6" t="s">
        <v>99</v>
      </c>
    </row>
    <row r="23" ht="15.75" customHeight="1">
      <c r="A23" s="5" t="s">
        <v>214</v>
      </c>
      <c r="B23" s="6" t="s">
        <v>215</v>
      </c>
      <c r="C23" s="6" t="s">
        <v>239</v>
      </c>
      <c r="D23" s="6" t="s">
        <v>240</v>
      </c>
      <c r="E23" s="6" t="s">
        <v>242</v>
      </c>
      <c r="F23" s="6" t="s">
        <v>64</v>
      </c>
      <c r="G23" s="6" t="s">
        <v>243</v>
      </c>
      <c r="H23" s="6">
        <v>129848.0</v>
      </c>
      <c r="I23" s="6" t="s">
        <v>60</v>
      </c>
      <c r="J23" s="6" t="s">
        <v>244</v>
      </c>
      <c r="K23" s="6" t="s">
        <v>73</v>
      </c>
      <c r="L23" s="6" t="s">
        <v>246</v>
      </c>
      <c r="M23" s="6" t="s">
        <v>99</v>
      </c>
    </row>
    <row r="24" ht="15.75" customHeight="1">
      <c r="A24" s="5" t="s">
        <v>214</v>
      </c>
      <c r="B24" s="6" t="s">
        <v>215</v>
      </c>
      <c r="C24" s="6" t="s">
        <v>247</v>
      </c>
      <c r="D24" s="6" t="s">
        <v>248</v>
      </c>
      <c r="E24" s="6" t="s">
        <v>250</v>
      </c>
      <c r="F24" s="6" t="s">
        <v>64</v>
      </c>
      <c r="G24" s="6" t="s">
        <v>243</v>
      </c>
      <c r="H24" s="6">
        <v>78174.0</v>
      </c>
      <c r="I24" s="6" t="s">
        <v>60</v>
      </c>
      <c r="J24" s="6" t="s">
        <v>251</v>
      </c>
      <c r="K24" s="6" t="s">
        <v>73</v>
      </c>
      <c r="L24" s="6" t="s">
        <v>252</v>
      </c>
      <c r="M24" s="6" t="s">
        <v>99</v>
      </c>
    </row>
    <row r="25" ht="15.75" customHeight="1">
      <c r="A25" s="5" t="s">
        <v>214</v>
      </c>
      <c r="B25" s="6" t="s">
        <v>215</v>
      </c>
      <c r="C25" s="6" t="s">
        <v>253</v>
      </c>
      <c r="D25" s="6" t="s">
        <v>254</v>
      </c>
      <c r="E25" s="6" t="s">
        <v>255</v>
      </c>
      <c r="F25" s="6" t="s">
        <v>64</v>
      </c>
      <c r="G25" s="6" t="s">
        <v>243</v>
      </c>
      <c r="H25" s="6">
        <v>39121.0</v>
      </c>
      <c r="I25" s="6" t="s">
        <v>60</v>
      </c>
      <c r="J25" s="6" t="s">
        <v>251</v>
      </c>
      <c r="K25" s="6" t="s">
        <v>73</v>
      </c>
      <c r="L25" s="6" t="s">
        <v>256</v>
      </c>
      <c r="M25" s="6" t="s">
        <v>99</v>
      </c>
    </row>
    <row r="26" ht="15.75" customHeight="1">
      <c r="A26" s="5" t="s">
        <v>214</v>
      </c>
      <c r="B26" s="6" t="s">
        <v>215</v>
      </c>
      <c r="C26" s="6" t="s">
        <v>257</v>
      </c>
      <c r="D26" s="6" t="s">
        <v>258</v>
      </c>
      <c r="E26" s="6" t="s">
        <v>259</v>
      </c>
      <c r="F26" s="6" t="s">
        <v>64</v>
      </c>
      <c r="G26" s="6" t="s">
        <v>243</v>
      </c>
      <c r="H26" s="6">
        <v>247768.0</v>
      </c>
      <c r="I26" s="6" t="s">
        <v>60</v>
      </c>
      <c r="J26" s="6" t="s">
        <v>260</v>
      </c>
      <c r="K26" s="6" t="s">
        <v>73</v>
      </c>
      <c r="L26" s="6" t="s">
        <v>252</v>
      </c>
      <c r="M26" s="6" t="s">
        <v>99</v>
      </c>
    </row>
    <row r="27" ht="15.75" customHeight="1">
      <c r="A27" s="5" t="s">
        <v>261</v>
      </c>
      <c r="B27" s="6" t="s">
        <v>262</v>
      </c>
      <c r="C27" s="6" t="s">
        <v>82</v>
      </c>
      <c r="D27" s="6" t="s">
        <v>263</v>
      </c>
      <c r="E27" s="6" t="s">
        <v>264</v>
      </c>
      <c r="F27" s="6" t="s">
        <v>64</v>
      </c>
      <c r="G27" s="6" t="s">
        <v>93</v>
      </c>
      <c r="H27" s="6">
        <v>2023.0</v>
      </c>
      <c r="I27" s="6" t="s">
        <v>60</v>
      </c>
      <c r="J27" s="6" t="s">
        <v>265</v>
      </c>
      <c r="K27" s="6" t="s">
        <v>73</v>
      </c>
      <c r="L27" s="6" t="s">
        <v>266</v>
      </c>
      <c r="M27" s="6" t="s">
        <v>99</v>
      </c>
    </row>
    <row r="28" ht="15.75" customHeight="1">
      <c r="A28" s="5" t="s">
        <v>261</v>
      </c>
      <c r="B28" s="6" t="s">
        <v>262</v>
      </c>
      <c r="C28" s="6" t="s">
        <v>268</v>
      </c>
      <c r="D28" s="6" t="s">
        <v>269</v>
      </c>
      <c r="E28" s="6" t="s">
        <v>271</v>
      </c>
      <c r="F28" s="6" t="s">
        <v>64</v>
      </c>
      <c r="G28" s="6" t="s">
        <v>139</v>
      </c>
      <c r="H28" s="6">
        <v>9.0</v>
      </c>
      <c r="I28" s="6" t="s">
        <v>60</v>
      </c>
      <c r="J28" s="6" t="s">
        <v>273</v>
      </c>
      <c r="K28" s="6" t="s">
        <v>73</v>
      </c>
      <c r="L28" s="6" t="s">
        <v>274</v>
      </c>
      <c r="M28" s="6" t="s">
        <v>99</v>
      </c>
    </row>
    <row r="29" ht="15.75" customHeight="1">
      <c r="A29" s="5" t="s">
        <v>261</v>
      </c>
      <c r="B29" s="6" t="s">
        <v>262</v>
      </c>
      <c r="C29" s="6" t="s">
        <v>275</v>
      </c>
      <c r="D29" s="6" t="s">
        <v>276</v>
      </c>
      <c r="E29" s="6" t="s">
        <v>277</v>
      </c>
      <c r="F29" s="6" t="s">
        <v>208</v>
      </c>
      <c r="G29" s="6" t="s">
        <v>279</v>
      </c>
      <c r="H29" s="6" t="s">
        <v>280</v>
      </c>
      <c r="I29" s="6" t="s">
        <v>60</v>
      </c>
      <c r="J29" s="6" t="s">
        <v>281</v>
      </c>
      <c r="K29" s="6" t="s">
        <v>73</v>
      </c>
      <c r="L29" s="6" t="s">
        <v>283</v>
      </c>
      <c r="M29" s="6" t="s">
        <v>99</v>
      </c>
    </row>
    <row r="30" ht="15.75" customHeight="1">
      <c r="A30" s="5" t="s">
        <v>284</v>
      </c>
      <c r="B30" s="6" t="s">
        <v>285</v>
      </c>
      <c r="C30" s="6" t="s">
        <v>82</v>
      </c>
      <c r="D30" s="6" t="s">
        <v>286</v>
      </c>
      <c r="E30" s="6" t="s">
        <v>287</v>
      </c>
      <c r="F30" s="6" t="s">
        <v>64</v>
      </c>
      <c r="G30" s="6" t="s">
        <v>93</v>
      </c>
      <c r="H30" s="6">
        <v>2010.0</v>
      </c>
      <c r="I30" s="6" t="s">
        <v>60</v>
      </c>
      <c r="J30" s="6" t="s">
        <v>290</v>
      </c>
      <c r="K30" s="6" t="s">
        <v>73</v>
      </c>
      <c r="L30" s="6" t="s">
        <v>291</v>
      </c>
      <c r="M30" s="6" t="s">
        <v>166</v>
      </c>
    </row>
    <row r="31" ht="15.75" customHeight="1">
      <c r="A31" s="5" t="s">
        <v>284</v>
      </c>
      <c r="B31" s="6" t="s">
        <v>285</v>
      </c>
      <c r="C31" s="6" t="s">
        <v>293</v>
      </c>
      <c r="D31" s="6" t="s">
        <v>294</v>
      </c>
      <c r="E31" s="6" t="s">
        <v>295</v>
      </c>
      <c r="F31" s="6" t="s">
        <v>161</v>
      </c>
      <c r="G31" s="6" t="s">
        <v>162</v>
      </c>
      <c r="H31" s="6" t="s">
        <v>296</v>
      </c>
      <c r="I31" s="6" t="s">
        <v>60</v>
      </c>
      <c r="J31" s="6" t="s">
        <v>297</v>
      </c>
      <c r="K31" s="6" t="s">
        <v>73</v>
      </c>
      <c r="L31" s="6" t="s">
        <v>162</v>
      </c>
      <c r="M31" s="6" t="s">
        <v>166</v>
      </c>
    </row>
    <row r="32" ht="15.75" customHeight="1">
      <c r="A32" s="5" t="s">
        <v>284</v>
      </c>
      <c r="B32" s="6" t="s">
        <v>285</v>
      </c>
      <c r="C32" s="6" t="s">
        <v>298</v>
      </c>
      <c r="D32" s="6" t="s">
        <v>299</v>
      </c>
      <c r="E32" s="6" t="s">
        <v>300</v>
      </c>
      <c r="F32" s="6" t="s">
        <v>208</v>
      </c>
      <c r="G32" s="6" t="s">
        <v>301</v>
      </c>
      <c r="H32" s="19">
        <v>0.942</v>
      </c>
      <c r="I32" s="6" t="s">
        <v>60</v>
      </c>
      <c r="J32" s="6" t="s">
        <v>304</v>
      </c>
      <c r="K32" s="6" t="s">
        <v>73</v>
      </c>
      <c r="L32" s="6" t="s">
        <v>283</v>
      </c>
      <c r="M32" s="6" t="s">
        <v>166</v>
      </c>
    </row>
    <row r="33" ht="15.75" customHeight="1">
      <c r="A33" s="5" t="s">
        <v>284</v>
      </c>
      <c r="B33" s="6" t="s">
        <v>285</v>
      </c>
      <c r="C33" s="6" t="s">
        <v>308</v>
      </c>
      <c r="D33" s="6" t="s">
        <v>309</v>
      </c>
      <c r="E33" s="6" t="s">
        <v>310</v>
      </c>
      <c r="F33" s="6" t="s">
        <v>208</v>
      </c>
      <c r="G33" s="6" t="s">
        <v>301</v>
      </c>
      <c r="H33" s="19">
        <v>0.843</v>
      </c>
      <c r="I33" s="6" t="s">
        <v>60</v>
      </c>
      <c r="J33" s="6" t="s">
        <v>313</v>
      </c>
      <c r="K33" s="6" t="s">
        <v>73</v>
      </c>
      <c r="L33" s="6" t="s">
        <v>252</v>
      </c>
      <c r="M33" s="6" t="s">
        <v>166</v>
      </c>
    </row>
    <row r="34" ht="15.75" customHeight="1">
      <c r="A34" s="5" t="s">
        <v>314</v>
      </c>
      <c r="B34" s="6" t="s">
        <v>315</v>
      </c>
      <c r="C34" s="6" t="s">
        <v>316</v>
      </c>
      <c r="D34" s="22" t="s">
        <v>317</v>
      </c>
      <c r="E34" s="6" t="s">
        <v>321</v>
      </c>
      <c r="F34" s="6" t="s">
        <v>161</v>
      </c>
      <c r="G34" s="6" t="s">
        <v>162</v>
      </c>
      <c r="H34" s="6">
        <v>3550308.0</v>
      </c>
      <c r="I34" s="6" t="s">
        <v>60</v>
      </c>
      <c r="J34" s="6" t="s">
        <v>323</v>
      </c>
      <c r="K34" s="6" t="s">
        <v>73</v>
      </c>
      <c r="L34" s="6" t="s">
        <v>324</v>
      </c>
      <c r="M34" s="6"/>
    </row>
    <row r="35" ht="15.75" customHeight="1">
      <c r="A35" s="5" t="s">
        <v>314</v>
      </c>
      <c r="B35" s="6" t="s">
        <v>315</v>
      </c>
      <c r="C35" s="6" t="s">
        <v>325</v>
      </c>
      <c r="D35" s="6" t="s">
        <v>326</v>
      </c>
      <c r="E35" s="6" t="s">
        <v>327</v>
      </c>
      <c r="F35" s="6" t="s">
        <v>161</v>
      </c>
      <c r="G35" s="6" t="s">
        <v>162</v>
      </c>
      <c r="H35" s="6" t="s">
        <v>329</v>
      </c>
      <c r="I35" s="6" t="s">
        <v>60</v>
      </c>
      <c r="J35" s="6" t="s">
        <v>330</v>
      </c>
      <c r="K35" s="6" t="s">
        <v>73</v>
      </c>
      <c r="L35" s="6" t="s">
        <v>331</v>
      </c>
      <c r="M35" s="6"/>
    </row>
    <row r="36" ht="15.75" customHeight="1">
      <c r="A36" s="5" t="s">
        <v>314</v>
      </c>
      <c r="B36" s="6" t="s">
        <v>315</v>
      </c>
      <c r="C36" s="6" t="s">
        <v>332</v>
      </c>
      <c r="D36" s="6" t="s">
        <v>333</v>
      </c>
      <c r="E36" s="6" t="s">
        <v>334</v>
      </c>
      <c r="F36" s="6" t="s">
        <v>64</v>
      </c>
      <c r="G36" s="6" t="s">
        <v>104</v>
      </c>
      <c r="H36" s="6">
        <v>1.2396372E7</v>
      </c>
      <c r="I36" s="6" t="s">
        <v>117</v>
      </c>
      <c r="J36" s="6" t="s">
        <v>335</v>
      </c>
      <c r="K36" s="6" t="s">
        <v>73</v>
      </c>
      <c r="L36" s="6" t="s">
        <v>337</v>
      </c>
      <c r="M36" s="6"/>
    </row>
    <row r="37" ht="15.75" customHeight="1">
      <c r="A37" s="5" t="s">
        <v>338</v>
      </c>
      <c r="B37" s="6" t="s">
        <v>340</v>
      </c>
      <c r="C37" s="6" t="s">
        <v>82</v>
      </c>
      <c r="D37" s="6" t="s">
        <v>342</v>
      </c>
      <c r="E37" s="6" t="s">
        <v>343</v>
      </c>
      <c r="F37" s="6" t="s">
        <v>64</v>
      </c>
      <c r="G37" s="6" t="s">
        <v>93</v>
      </c>
      <c r="H37" s="6">
        <v>2024.0</v>
      </c>
      <c r="I37" s="6" t="s">
        <v>60</v>
      </c>
      <c r="J37" s="6" t="s">
        <v>345</v>
      </c>
      <c r="K37" s="6" t="s">
        <v>73</v>
      </c>
      <c r="L37" s="6" t="s">
        <v>346</v>
      </c>
      <c r="M37" s="6" t="s">
        <v>166</v>
      </c>
    </row>
    <row r="38" ht="15.75" customHeight="1">
      <c r="A38" s="5" t="s">
        <v>338</v>
      </c>
      <c r="B38" s="6" t="s">
        <v>340</v>
      </c>
      <c r="C38" s="6" t="s">
        <v>349</v>
      </c>
      <c r="D38" s="6" t="s">
        <v>350</v>
      </c>
      <c r="E38" s="6" t="s">
        <v>351</v>
      </c>
      <c r="F38" s="6" t="s">
        <v>161</v>
      </c>
      <c r="G38" s="6" t="s">
        <v>162</v>
      </c>
      <c r="H38" s="6" t="s">
        <v>354</v>
      </c>
      <c r="I38" s="6" t="s">
        <v>60</v>
      </c>
      <c r="J38" s="6" t="s">
        <v>355</v>
      </c>
      <c r="K38" s="6" t="s">
        <v>73</v>
      </c>
      <c r="L38" s="6" t="s">
        <v>356</v>
      </c>
      <c r="M38" s="6" t="s">
        <v>166</v>
      </c>
    </row>
    <row r="39" ht="15.75" customHeight="1">
      <c r="A39" s="5" t="s">
        <v>338</v>
      </c>
      <c r="B39" s="6" t="s">
        <v>340</v>
      </c>
      <c r="C39" s="6" t="s">
        <v>357</v>
      </c>
      <c r="D39" s="6" t="s">
        <v>358</v>
      </c>
      <c r="E39" s="6" t="s">
        <v>359</v>
      </c>
      <c r="F39" s="6" t="s">
        <v>161</v>
      </c>
      <c r="G39" s="6" t="s">
        <v>162</v>
      </c>
      <c r="H39" s="6" t="s">
        <v>360</v>
      </c>
      <c r="I39" s="6" t="s">
        <v>60</v>
      </c>
      <c r="J39" s="6" t="s">
        <v>361</v>
      </c>
      <c r="K39" s="6" t="s">
        <v>73</v>
      </c>
      <c r="L39" s="6" t="s">
        <v>362</v>
      </c>
      <c r="M39" s="6" t="s">
        <v>166</v>
      </c>
    </row>
    <row r="40" ht="15.75" customHeight="1">
      <c r="A40" s="5" t="s">
        <v>338</v>
      </c>
      <c r="B40" s="6" t="s">
        <v>340</v>
      </c>
      <c r="C40" s="6" t="s">
        <v>363</v>
      </c>
      <c r="D40" s="6" t="s">
        <v>205</v>
      </c>
      <c r="E40" s="6" t="s">
        <v>364</v>
      </c>
      <c r="F40" s="6" t="s">
        <v>64</v>
      </c>
      <c r="G40" s="6" t="s">
        <v>182</v>
      </c>
      <c r="H40" s="6">
        <v>2110.0</v>
      </c>
      <c r="I40" s="6" t="s">
        <v>117</v>
      </c>
      <c r="J40" s="6" t="s">
        <v>365</v>
      </c>
      <c r="K40" s="6" t="s">
        <v>73</v>
      </c>
      <c r="L40" s="6" t="s">
        <v>366</v>
      </c>
      <c r="M40" s="6" t="s">
        <v>166</v>
      </c>
    </row>
    <row r="41" ht="15.75" customHeight="1">
      <c r="A41" s="5" t="s">
        <v>367</v>
      </c>
      <c r="B41" s="6" t="s">
        <v>368</v>
      </c>
      <c r="C41" s="6" t="s">
        <v>82</v>
      </c>
      <c r="D41" s="6" t="s">
        <v>342</v>
      </c>
      <c r="E41" s="6" t="s">
        <v>343</v>
      </c>
      <c r="F41" s="6" t="s">
        <v>64</v>
      </c>
      <c r="G41" s="6" t="s">
        <v>93</v>
      </c>
      <c r="H41" s="6">
        <v>2024.0</v>
      </c>
      <c r="I41" s="6" t="s">
        <v>60</v>
      </c>
      <c r="J41" s="6" t="s">
        <v>345</v>
      </c>
      <c r="K41" s="6" t="s">
        <v>73</v>
      </c>
      <c r="L41" s="6" t="s">
        <v>346</v>
      </c>
      <c r="M41" s="6" t="s">
        <v>166</v>
      </c>
    </row>
    <row r="42" ht="15.75" customHeight="1">
      <c r="A42" s="5" t="s">
        <v>367</v>
      </c>
      <c r="B42" s="6" t="s">
        <v>368</v>
      </c>
      <c r="C42" s="6" t="s">
        <v>349</v>
      </c>
      <c r="D42" s="6" t="s">
        <v>350</v>
      </c>
      <c r="E42" s="6" t="s">
        <v>351</v>
      </c>
      <c r="F42" s="6" t="s">
        <v>161</v>
      </c>
      <c r="G42" s="6" t="s">
        <v>162</v>
      </c>
      <c r="H42" s="6" t="s">
        <v>354</v>
      </c>
      <c r="I42" s="6" t="s">
        <v>60</v>
      </c>
      <c r="J42" s="6" t="s">
        <v>355</v>
      </c>
      <c r="K42" s="6" t="s">
        <v>73</v>
      </c>
      <c r="L42" s="6" t="s">
        <v>356</v>
      </c>
      <c r="M42" s="6" t="s">
        <v>166</v>
      </c>
    </row>
    <row r="43" ht="15.75" customHeight="1">
      <c r="A43" s="5" t="s">
        <v>367</v>
      </c>
      <c r="B43" s="6" t="s">
        <v>368</v>
      </c>
      <c r="C43" s="6" t="s">
        <v>357</v>
      </c>
      <c r="D43" s="6" t="s">
        <v>358</v>
      </c>
      <c r="E43" s="6" t="s">
        <v>359</v>
      </c>
      <c r="F43" s="6" t="s">
        <v>161</v>
      </c>
      <c r="G43" s="6" t="s">
        <v>162</v>
      </c>
      <c r="H43" s="6" t="s">
        <v>360</v>
      </c>
      <c r="I43" s="6" t="s">
        <v>60</v>
      </c>
      <c r="J43" s="6" t="s">
        <v>361</v>
      </c>
      <c r="K43" s="6" t="s">
        <v>73</v>
      </c>
      <c r="L43" s="6" t="s">
        <v>362</v>
      </c>
      <c r="M43" s="6" t="s">
        <v>166</v>
      </c>
    </row>
    <row r="44" ht="15.75" customHeight="1">
      <c r="A44" s="5" t="s">
        <v>367</v>
      </c>
      <c r="B44" s="6" t="s">
        <v>368</v>
      </c>
      <c r="C44" s="6" t="s">
        <v>373</v>
      </c>
      <c r="D44" s="6" t="s">
        <v>205</v>
      </c>
      <c r="E44" s="6" t="s">
        <v>374</v>
      </c>
      <c r="F44" s="6" t="s">
        <v>64</v>
      </c>
      <c r="G44" s="6" t="s">
        <v>377</v>
      </c>
      <c r="H44" s="6">
        <v>33538.0</v>
      </c>
      <c r="I44" s="6" t="s">
        <v>117</v>
      </c>
      <c r="J44" s="6" t="s">
        <v>381</v>
      </c>
      <c r="K44" s="6" t="s">
        <v>73</v>
      </c>
      <c r="L44" s="6" t="s">
        <v>382</v>
      </c>
      <c r="M44" s="6" t="s">
        <v>166</v>
      </c>
    </row>
    <row r="45" ht="15.75" customHeight="1">
      <c r="A45" s="5" t="s">
        <v>383</v>
      </c>
      <c r="B45" s="6" t="s">
        <v>385</v>
      </c>
      <c r="C45" s="6" t="s">
        <v>82</v>
      </c>
      <c r="D45" s="6" t="s">
        <v>386</v>
      </c>
      <c r="E45" s="6" t="s">
        <v>388</v>
      </c>
      <c r="F45" s="6" t="s">
        <v>64</v>
      </c>
      <c r="G45" s="6" t="s">
        <v>93</v>
      </c>
      <c r="H45" s="6">
        <v>2024.0</v>
      </c>
      <c r="I45" s="6" t="s">
        <v>60</v>
      </c>
      <c r="J45" s="6" t="s">
        <v>389</v>
      </c>
      <c r="K45" s="6" t="s">
        <v>73</v>
      </c>
      <c r="L45" s="6" t="s">
        <v>390</v>
      </c>
      <c r="M45" s="6" t="s">
        <v>166</v>
      </c>
    </row>
    <row r="46" ht="15.75" customHeight="1">
      <c r="A46" s="5" t="s">
        <v>383</v>
      </c>
      <c r="B46" s="6" t="s">
        <v>385</v>
      </c>
      <c r="C46" s="6" t="s">
        <v>349</v>
      </c>
      <c r="D46" s="6" t="s">
        <v>350</v>
      </c>
      <c r="E46" s="6" t="s">
        <v>391</v>
      </c>
      <c r="F46" s="6" t="s">
        <v>161</v>
      </c>
      <c r="G46" s="6" t="s">
        <v>162</v>
      </c>
      <c r="H46" s="6" t="s">
        <v>392</v>
      </c>
      <c r="I46" s="6" t="s">
        <v>60</v>
      </c>
      <c r="J46" s="6" t="s">
        <v>393</v>
      </c>
      <c r="K46" s="6" t="s">
        <v>73</v>
      </c>
      <c r="L46" s="6" t="s">
        <v>356</v>
      </c>
      <c r="M46" s="6" t="s">
        <v>166</v>
      </c>
    </row>
    <row r="47" ht="15.75" customHeight="1">
      <c r="A47" s="5" t="s">
        <v>383</v>
      </c>
      <c r="B47" s="6" t="s">
        <v>385</v>
      </c>
      <c r="C47" s="6" t="s">
        <v>357</v>
      </c>
      <c r="D47" s="6" t="s">
        <v>358</v>
      </c>
      <c r="E47" s="6" t="s">
        <v>395</v>
      </c>
      <c r="F47" s="6" t="s">
        <v>161</v>
      </c>
      <c r="G47" s="6" t="s">
        <v>162</v>
      </c>
      <c r="H47" s="6" t="s">
        <v>360</v>
      </c>
      <c r="I47" s="6" t="s">
        <v>60</v>
      </c>
      <c r="J47" s="6" t="s">
        <v>361</v>
      </c>
      <c r="K47" s="6" t="s">
        <v>73</v>
      </c>
      <c r="L47" s="6" t="s">
        <v>362</v>
      </c>
      <c r="M47" s="6" t="s">
        <v>166</v>
      </c>
    </row>
    <row r="48" ht="15.75" customHeight="1">
      <c r="A48" s="5" t="s">
        <v>383</v>
      </c>
      <c r="B48" s="6" t="s">
        <v>385</v>
      </c>
      <c r="C48" s="6" t="s">
        <v>397</v>
      </c>
      <c r="D48" s="6" t="s">
        <v>399</v>
      </c>
      <c r="E48" s="6" t="s">
        <v>400</v>
      </c>
      <c r="F48" s="6" t="s">
        <v>64</v>
      </c>
      <c r="G48" s="6" t="s">
        <v>377</v>
      </c>
      <c r="H48" s="6">
        <v>92665.0</v>
      </c>
      <c r="I48" s="6" t="s">
        <v>60</v>
      </c>
      <c r="J48" s="6" t="s">
        <v>405</v>
      </c>
      <c r="K48" s="6" t="s">
        <v>73</v>
      </c>
      <c r="L48" s="6" t="s">
        <v>408</v>
      </c>
      <c r="M48" s="6" t="s">
        <v>166</v>
      </c>
    </row>
    <row r="49" ht="15.75" customHeight="1">
      <c r="A49" s="5" t="s">
        <v>383</v>
      </c>
      <c r="B49" s="6" t="s">
        <v>385</v>
      </c>
      <c r="C49" s="6" t="s">
        <v>410</v>
      </c>
      <c r="D49" s="6" t="s">
        <v>412</v>
      </c>
      <c r="E49" s="6" t="s">
        <v>413</v>
      </c>
      <c r="F49" s="6" t="s">
        <v>64</v>
      </c>
      <c r="G49" s="6" t="s">
        <v>377</v>
      </c>
      <c r="H49" s="6">
        <v>29330.0</v>
      </c>
      <c r="I49" s="6" t="s">
        <v>60</v>
      </c>
      <c r="J49" s="6" t="s">
        <v>414</v>
      </c>
      <c r="K49" s="6" t="s">
        <v>73</v>
      </c>
      <c r="L49" s="6" t="s">
        <v>408</v>
      </c>
      <c r="M49" s="6" t="s">
        <v>166</v>
      </c>
    </row>
    <row r="50" ht="15.75" customHeight="1">
      <c r="A50" s="5" t="s">
        <v>416</v>
      </c>
      <c r="B50" s="6" t="s">
        <v>417</v>
      </c>
      <c r="C50" s="6" t="s">
        <v>82</v>
      </c>
      <c r="D50" s="6" t="s">
        <v>418</v>
      </c>
      <c r="E50" s="6" t="s">
        <v>388</v>
      </c>
      <c r="F50" s="6" t="s">
        <v>64</v>
      </c>
      <c r="G50" s="6" t="s">
        <v>93</v>
      </c>
      <c r="H50" s="6">
        <v>2024.0</v>
      </c>
      <c r="I50" s="6" t="s">
        <v>60</v>
      </c>
      <c r="J50" s="6" t="s">
        <v>419</v>
      </c>
      <c r="K50" s="6" t="s">
        <v>73</v>
      </c>
      <c r="L50" s="6" t="s">
        <v>390</v>
      </c>
      <c r="M50" s="6" t="s">
        <v>166</v>
      </c>
    </row>
    <row r="51" ht="15.75" customHeight="1">
      <c r="A51" s="5" t="s">
        <v>416</v>
      </c>
      <c r="B51" s="6" t="s">
        <v>417</v>
      </c>
      <c r="C51" s="6" t="s">
        <v>349</v>
      </c>
      <c r="D51" s="6" t="s">
        <v>350</v>
      </c>
      <c r="E51" s="6" t="s">
        <v>391</v>
      </c>
      <c r="F51" s="6" t="s">
        <v>161</v>
      </c>
      <c r="G51" s="6" t="s">
        <v>162</v>
      </c>
      <c r="H51" s="6" t="s">
        <v>392</v>
      </c>
      <c r="I51" s="6" t="s">
        <v>60</v>
      </c>
      <c r="J51" s="6" t="s">
        <v>393</v>
      </c>
      <c r="K51" s="6" t="s">
        <v>73</v>
      </c>
      <c r="L51" s="6" t="s">
        <v>356</v>
      </c>
      <c r="M51" s="6" t="s">
        <v>166</v>
      </c>
    </row>
    <row r="52" ht="15.75" customHeight="1">
      <c r="A52" s="5" t="s">
        <v>416</v>
      </c>
      <c r="B52" s="6" t="s">
        <v>417</v>
      </c>
      <c r="C52" s="6" t="s">
        <v>357</v>
      </c>
      <c r="D52" s="6" t="s">
        <v>358</v>
      </c>
      <c r="E52" s="6" t="s">
        <v>395</v>
      </c>
      <c r="F52" s="6" t="s">
        <v>161</v>
      </c>
      <c r="G52" s="6" t="s">
        <v>162</v>
      </c>
      <c r="H52" s="6" t="s">
        <v>360</v>
      </c>
      <c r="I52" s="6" t="s">
        <v>60</v>
      </c>
      <c r="J52" s="6" t="s">
        <v>361</v>
      </c>
      <c r="K52" s="6" t="s">
        <v>73</v>
      </c>
      <c r="L52" s="6" t="s">
        <v>362</v>
      </c>
      <c r="M52" s="6" t="s">
        <v>166</v>
      </c>
    </row>
    <row r="53" ht="15.75" customHeight="1">
      <c r="A53" s="5" t="s">
        <v>416</v>
      </c>
      <c r="B53" s="6" t="s">
        <v>417</v>
      </c>
      <c r="C53" s="6" t="s">
        <v>427</v>
      </c>
      <c r="D53" s="6" t="s">
        <v>428</v>
      </c>
      <c r="E53" s="6" t="s">
        <v>429</v>
      </c>
      <c r="F53" s="6" t="s">
        <v>161</v>
      </c>
      <c r="G53" s="6" t="s">
        <v>162</v>
      </c>
      <c r="H53" s="6" t="s">
        <v>430</v>
      </c>
      <c r="I53" s="6" t="s">
        <v>60</v>
      </c>
      <c r="J53" s="6" t="s">
        <v>431</v>
      </c>
      <c r="K53" s="6" t="s">
        <v>432</v>
      </c>
      <c r="L53" s="6" t="s">
        <v>433</v>
      </c>
      <c r="M53" s="6" t="s">
        <v>166</v>
      </c>
    </row>
    <row r="54" ht="15.75" customHeight="1">
      <c r="A54" s="5" t="s">
        <v>416</v>
      </c>
      <c r="B54" s="6" t="s">
        <v>417</v>
      </c>
      <c r="C54" s="6" t="s">
        <v>434</v>
      </c>
      <c r="D54" s="6" t="s">
        <v>435</v>
      </c>
      <c r="E54" s="6" t="s">
        <v>436</v>
      </c>
      <c r="F54" s="6" t="s">
        <v>64</v>
      </c>
      <c r="G54" s="6" t="s">
        <v>377</v>
      </c>
      <c r="H54" s="6">
        <v>40609.0</v>
      </c>
      <c r="I54" s="6" t="s">
        <v>117</v>
      </c>
      <c r="J54" s="6" t="s">
        <v>438</v>
      </c>
      <c r="K54" s="6" t="s">
        <v>432</v>
      </c>
      <c r="L54" s="6" t="s">
        <v>439</v>
      </c>
      <c r="M54" s="6" t="s">
        <v>166</v>
      </c>
    </row>
    <row r="55" ht="15.75" customHeight="1">
      <c r="A55" s="5" t="s">
        <v>440</v>
      </c>
      <c r="B55" s="6" t="s">
        <v>441</v>
      </c>
      <c r="C55" s="6" t="s">
        <v>82</v>
      </c>
      <c r="D55" s="6" t="s">
        <v>442</v>
      </c>
      <c r="E55" s="6" t="s">
        <v>443</v>
      </c>
      <c r="F55" s="6" t="s">
        <v>64</v>
      </c>
      <c r="G55" s="6" t="s">
        <v>93</v>
      </c>
      <c r="H55" s="6">
        <v>2024.0</v>
      </c>
      <c r="I55" s="6" t="s">
        <v>60</v>
      </c>
      <c r="J55" s="6" t="s">
        <v>445</v>
      </c>
      <c r="K55" s="6" t="s">
        <v>73</v>
      </c>
      <c r="L55" s="6" t="s">
        <v>390</v>
      </c>
      <c r="M55" s="6"/>
    </row>
    <row r="56" ht="15.75" customHeight="1">
      <c r="A56" s="5" t="s">
        <v>440</v>
      </c>
      <c r="B56" s="6" t="s">
        <v>441</v>
      </c>
      <c r="C56" s="6" t="s">
        <v>349</v>
      </c>
      <c r="D56" s="6" t="s">
        <v>350</v>
      </c>
      <c r="E56" s="6" t="s">
        <v>449</v>
      </c>
      <c r="F56" s="6" t="s">
        <v>161</v>
      </c>
      <c r="G56" s="6" t="s">
        <v>162</v>
      </c>
      <c r="H56" s="6" t="s">
        <v>450</v>
      </c>
      <c r="I56" s="6" t="s">
        <v>60</v>
      </c>
      <c r="J56" s="6" t="s">
        <v>451</v>
      </c>
      <c r="K56" s="6" t="s">
        <v>73</v>
      </c>
      <c r="L56" s="6" t="s">
        <v>452</v>
      </c>
      <c r="M56" s="6"/>
    </row>
    <row r="57" ht="15.75" customHeight="1">
      <c r="A57" s="5" t="s">
        <v>440</v>
      </c>
      <c r="B57" s="6" t="s">
        <v>441</v>
      </c>
      <c r="C57" s="6" t="s">
        <v>357</v>
      </c>
      <c r="D57" s="6" t="s">
        <v>358</v>
      </c>
      <c r="E57" s="6" t="s">
        <v>454</v>
      </c>
      <c r="F57" s="6" t="s">
        <v>161</v>
      </c>
      <c r="G57" s="6" t="s">
        <v>162</v>
      </c>
      <c r="H57" s="6" t="s">
        <v>360</v>
      </c>
      <c r="I57" s="6" t="s">
        <v>60</v>
      </c>
      <c r="J57" s="6" t="s">
        <v>455</v>
      </c>
      <c r="K57" s="6" t="s">
        <v>73</v>
      </c>
      <c r="L57" s="6" t="s">
        <v>457</v>
      </c>
      <c r="M57" s="6"/>
    </row>
    <row r="58" ht="15.75" customHeight="1">
      <c r="A58" s="5" t="s">
        <v>440</v>
      </c>
      <c r="B58" s="6" t="s">
        <v>441</v>
      </c>
      <c r="C58" s="6" t="s">
        <v>458</v>
      </c>
      <c r="D58" s="6" t="s">
        <v>459</v>
      </c>
      <c r="E58" s="6" t="s">
        <v>460</v>
      </c>
      <c r="F58" s="6" t="s">
        <v>161</v>
      </c>
      <c r="G58" s="6" t="s">
        <v>162</v>
      </c>
      <c r="H58" s="6" t="s">
        <v>461</v>
      </c>
      <c r="I58" s="6" t="s">
        <v>60</v>
      </c>
      <c r="J58" s="6" t="s">
        <v>462</v>
      </c>
      <c r="K58" s="6" t="s">
        <v>432</v>
      </c>
      <c r="L58" s="6" t="s">
        <v>463</v>
      </c>
      <c r="M58" s="6"/>
    </row>
    <row r="59" ht="15.75" customHeight="1">
      <c r="A59" s="5" t="s">
        <v>440</v>
      </c>
      <c r="B59" s="6" t="s">
        <v>441</v>
      </c>
      <c r="C59" s="6" t="s">
        <v>464</v>
      </c>
      <c r="D59" s="6" t="s">
        <v>465</v>
      </c>
      <c r="E59" s="6" t="s">
        <v>466</v>
      </c>
      <c r="F59" s="6" t="s">
        <v>64</v>
      </c>
      <c r="G59" s="6" t="s">
        <v>467</v>
      </c>
      <c r="H59" s="6">
        <v>2462.0</v>
      </c>
      <c r="I59" s="6" t="s">
        <v>117</v>
      </c>
      <c r="J59" s="6" t="s">
        <v>468</v>
      </c>
      <c r="K59" s="6" t="s">
        <v>73</v>
      </c>
      <c r="L59" s="6" t="s">
        <v>439</v>
      </c>
      <c r="M59" s="6"/>
    </row>
    <row r="60" ht="15.75" customHeight="1">
      <c r="A60" s="5" t="s">
        <v>469</v>
      </c>
      <c r="B60" s="6" t="s">
        <v>470</v>
      </c>
      <c r="C60" s="6" t="s">
        <v>82</v>
      </c>
      <c r="D60" s="6" t="s">
        <v>471</v>
      </c>
      <c r="E60" s="6" t="s">
        <v>472</v>
      </c>
      <c r="F60" s="6" t="s">
        <v>64</v>
      </c>
      <c r="G60" s="6" t="s">
        <v>93</v>
      </c>
      <c r="H60" s="6">
        <v>2025.0</v>
      </c>
      <c r="I60" s="6" t="s">
        <v>60</v>
      </c>
      <c r="J60" s="6" t="s">
        <v>473</v>
      </c>
      <c r="K60" s="6" t="s">
        <v>73</v>
      </c>
      <c r="L60" s="6" t="s">
        <v>346</v>
      </c>
      <c r="M60" s="6" t="s">
        <v>474</v>
      </c>
    </row>
    <row r="61" ht="15.75" customHeight="1">
      <c r="A61" s="5" t="s">
        <v>469</v>
      </c>
      <c r="B61" s="6" t="s">
        <v>470</v>
      </c>
      <c r="C61" s="6" t="s">
        <v>349</v>
      </c>
      <c r="D61" s="6" t="s">
        <v>350</v>
      </c>
      <c r="E61" s="6" t="s">
        <v>475</v>
      </c>
      <c r="F61" s="6" t="s">
        <v>161</v>
      </c>
      <c r="G61" s="6" t="s">
        <v>162</v>
      </c>
      <c r="H61" s="6" t="s">
        <v>476</v>
      </c>
      <c r="I61" s="6" t="s">
        <v>60</v>
      </c>
      <c r="J61" s="6" t="s">
        <v>451</v>
      </c>
      <c r="K61" s="6" t="s">
        <v>73</v>
      </c>
      <c r="L61" s="6" t="s">
        <v>478</v>
      </c>
      <c r="M61" s="6" t="s">
        <v>474</v>
      </c>
    </row>
    <row r="62" ht="15.75" customHeight="1">
      <c r="A62" s="5" t="s">
        <v>469</v>
      </c>
      <c r="B62" s="6" t="s">
        <v>470</v>
      </c>
      <c r="C62" s="6" t="s">
        <v>357</v>
      </c>
      <c r="D62" s="6" t="s">
        <v>358</v>
      </c>
      <c r="E62" s="6" t="s">
        <v>454</v>
      </c>
      <c r="F62" s="6" t="s">
        <v>161</v>
      </c>
      <c r="G62" s="6" t="s">
        <v>162</v>
      </c>
      <c r="H62" s="6" t="s">
        <v>360</v>
      </c>
      <c r="I62" s="6" t="s">
        <v>60</v>
      </c>
      <c r="J62" s="6" t="s">
        <v>480</v>
      </c>
      <c r="K62" s="6" t="s">
        <v>73</v>
      </c>
      <c r="L62" s="6" t="s">
        <v>457</v>
      </c>
      <c r="M62" s="6" t="s">
        <v>474</v>
      </c>
    </row>
    <row r="63" ht="15.75" customHeight="1">
      <c r="A63" s="5" t="s">
        <v>469</v>
      </c>
      <c r="B63" s="6" t="s">
        <v>470</v>
      </c>
      <c r="C63" s="6" t="s">
        <v>483</v>
      </c>
      <c r="D63" s="6" t="s">
        <v>484</v>
      </c>
      <c r="E63" s="6" t="s">
        <v>485</v>
      </c>
      <c r="F63" s="6" t="s">
        <v>161</v>
      </c>
      <c r="G63" s="6" t="s">
        <v>162</v>
      </c>
      <c r="H63" s="6" t="s">
        <v>487</v>
      </c>
      <c r="I63" s="6" t="s">
        <v>60</v>
      </c>
      <c r="J63" s="6" t="s">
        <v>488</v>
      </c>
      <c r="K63" s="6" t="s">
        <v>73</v>
      </c>
      <c r="L63" s="6" t="s">
        <v>489</v>
      </c>
      <c r="M63" s="6" t="s">
        <v>474</v>
      </c>
    </row>
    <row r="64" ht="15.75" customHeight="1">
      <c r="A64" s="5" t="s">
        <v>469</v>
      </c>
      <c r="B64" s="6" t="s">
        <v>470</v>
      </c>
      <c r="C64" s="6" t="s">
        <v>490</v>
      </c>
      <c r="D64" s="6" t="s">
        <v>465</v>
      </c>
      <c r="E64" s="6" t="s">
        <v>491</v>
      </c>
      <c r="F64" s="6" t="s">
        <v>64</v>
      </c>
      <c r="G64" s="6" t="s">
        <v>492</v>
      </c>
      <c r="H64" s="6">
        <v>25.0</v>
      </c>
      <c r="I64" s="6" t="s">
        <v>117</v>
      </c>
      <c r="J64" s="6" t="s">
        <v>493</v>
      </c>
      <c r="K64" s="6" t="s">
        <v>73</v>
      </c>
      <c r="L64" s="6" t="s">
        <v>494</v>
      </c>
      <c r="M64" s="6" t="s">
        <v>474</v>
      </c>
    </row>
    <row r="65" ht="15.75" customHeight="1">
      <c r="A65" s="5" t="s">
        <v>495</v>
      </c>
      <c r="B65" s="6" t="s">
        <v>496</v>
      </c>
      <c r="C65" s="6" t="s">
        <v>82</v>
      </c>
      <c r="D65" s="6" t="s">
        <v>442</v>
      </c>
      <c r="E65" s="6" t="s">
        <v>497</v>
      </c>
      <c r="F65" s="6" t="s">
        <v>64</v>
      </c>
      <c r="G65" s="6" t="s">
        <v>93</v>
      </c>
      <c r="H65" s="6">
        <v>2025.0</v>
      </c>
      <c r="I65" s="6" t="s">
        <v>60</v>
      </c>
      <c r="J65" s="6" t="s">
        <v>498</v>
      </c>
      <c r="K65" s="6" t="s">
        <v>73</v>
      </c>
      <c r="L65" s="6" t="s">
        <v>390</v>
      </c>
      <c r="M65" s="6" t="s">
        <v>474</v>
      </c>
    </row>
    <row r="66" ht="15.75" customHeight="1">
      <c r="A66" s="5" t="s">
        <v>495</v>
      </c>
      <c r="B66" s="6" t="s">
        <v>496</v>
      </c>
      <c r="C66" s="6" t="s">
        <v>499</v>
      </c>
      <c r="D66" s="6" t="s">
        <v>358</v>
      </c>
      <c r="E66" s="6" t="s">
        <v>500</v>
      </c>
      <c r="F66" s="6" t="s">
        <v>161</v>
      </c>
      <c r="G66" s="6" t="s">
        <v>162</v>
      </c>
      <c r="H66" s="6" t="s">
        <v>501</v>
      </c>
      <c r="I66" s="6" t="s">
        <v>60</v>
      </c>
      <c r="J66" s="6" t="s">
        <v>502</v>
      </c>
      <c r="K66" s="6" t="s">
        <v>73</v>
      </c>
      <c r="L66" s="6" t="s">
        <v>503</v>
      </c>
      <c r="M66" s="6" t="s">
        <v>474</v>
      </c>
    </row>
    <row r="67" ht="15.75" customHeight="1">
      <c r="A67" s="5" t="s">
        <v>495</v>
      </c>
      <c r="B67" s="6" t="s">
        <v>496</v>
      </c>
      <c r="C67" s="6" t="s">
        <v>505</v>
      </c>
      <c r="D67" s="6" t="s">
        <v>506</v>
      </c>
      <c r="E67" s="6" t="s">
        <v>507</v>
      </c>
      <c r="F67" s="6" t="s">
        <v>161</v>
      </c>
      <c r="G67" s="6" t="s">
        <v>162</v>
      </c>
      <c r="H67" s="6" t="s">
        <v>508</v>
      </c>
      <c r="I67" s="6" t="s">
        <v>60</v>
      </c>
      <c r="J67" s="6" t="s">
        <v>451</v>
      </c>
      <c r="K67" s="6" t="s">
        <v>73</v>
      </c>
      <c r="L67" s="6" t="s">
        <v>509</v>
      </c>
      <c r="M67" s="6" t="s">
        <v>474</v>
      </c>
    </row>
    <row r="68" ht="15.75" customHeight="1">
      <c r="A68" s="5" t="s">
        <v>495</v>
      </c>
      <c r="B68" s="6" t="s">
        <v>496</v>
      </c>
      <c r="C68" s="6" t="s">
        <v>510</v>
      </c>
      <c r="D68" s="6" t="s">
        <v>511</v>
      </c>
      <c r="E68" s="6" t="s">
        <v>512</v>
      </c>
      <c r="F68" s="6" t="s">
        <v>161</v>
      </c>
      <c r="G68" s="6" t="s">
        <v>162</v>
      </c>
      <c r="H68" s="6" t="s">
        <v>296</v>
      </c>
      <c r="I68" s="6" t="s">
        <v>60</v>
      </c>
      <c r="J68" s="6" t="s">
        <v>514</v>
      </c>
      <c r="K68" s="6" t="s">
        <v>73</v>
      </c>
      <c r="L68" s="6" t="s">
        <v>516</v>
      </c>
      <c r="M68" s="6" t="s">
        <v>474</v>
      </c>
    </row>
    <row r="69" ht="15.75" customHeight="1">
      <c r="A69" s="5" t="s">
        <v>495</v>
      </c>
      <c r="B69" s="6" t="s">
        <v>496</v>
      </c>
      <c r="C69" s="6" t="s">
        <v>360</v>
      </c>
      <c r="D69" s="6" t="s">
        <v>517</v>
      </c>
      <c r="E69" s="6" t="s">
        <v>518</v>
      </c>
      <c r="F69" s="6" t="s">
        <v>161</v>
      </c>
      <c r="G69" s="6" t="s">
        <v>162</v>
      </c>
      <c r="H69" s="6" t="s">
        <v>296</v>
      </c>
      <c r="I69" s="6" t="s">
        <v>60</v>
      </c>
      <c r="J69" s="6" t="s">
        <v>393</v>
      </c>
      <c r="K69" s="6" t="s">
        <v>73</v>
      </c>
      <c r="L69" s="6" t="s">
        <v>478</v>
      </c>
      <c r="M69" s="6" t="s">
        <v>474</v>
      </c>
    </row>
    <row r="70" ht="15.75" customHeight="1">
      <c r="A70" s="5" t="s">
        <v>495</v>
      </c>
      <c r="B70" s="6" t="s">
        <v>496</v>
      </c>
      <c r="C70" s="6" t="s">
        <v>520</v>
      </c>
      <c r="D70" s="6" t="s">
        <v>521</v>
      </c>
      <c r="E70" s="6" t="s">
        <v>522</v>
      </c>
      <c r="F70" s="6" t="s">
        <v>208</v>
      </c>
      <c r="G70" s="6" t="s">
        <v>523</v>
      </c>
      <c r="H70" s="6">
        <v>75460.0</v>
      </c>
      <c r="I70" s="6" t="s">
        <v>60</v>
      </c>
      <c r="J70" s="6" t="s">
        <v>524</v>
      </c>
      <c r="K70" s="6" t="s">
        <v>73</v>
      </c>
      <c r="L70" s="6" t="s">
        <v>525</v>
      </c>
      <c r="M70" s="6" t="s">
        <v>474</v>
      </c>
    </row>
    <row r="71" ht="15.75" customHeight="1">
      <c r="A71" s="5" t="s">
        <v>495</v>
      </c>
      <c r="B71" s="6" t="s">
        <v>496</v>
      </c>
      <c r="C71" s="6" t="s">
        <v>526</v>
      </c>
      <c r="D71" s="6" t="s">
        <v>527</v>
      </c>
      <c r="E71" s="6" t="s">
        <v>528</v>
      </c>
      <c r="F71" s="6" t="s">
        <v>64</v>
      </c>
      <c r="G71" s="6" t="s">
        <v>529</v>
      </c>
      <c r="H71" s="6">
        <v>305.0</v>
      </c>
      <c r="I71" s="6" t="s">
        <v>117</v>
      </c>
      <c r="J71" s="6" t="s">
        <v>530</v>
      </c>
      <c r="K71" s="6" t="s">
        <v>73</v>
      </c>
      <c r="L71" s="6" t="s">
        <v>531</v>
      </c>
      <c r="M71" s="6" t="s">
        <v>474</v>
      </c>
    </row>
    <row r="72" ht="15.75" customHeight="1">
      <c r="A72" s="5" t="s">
        <v>495</v>
      </c>
      <c r="B72" s="6" t="s">
        <v>496</v>
      </c>
      <c r="C72" s="6" t="s">
        <v>532</v>
      </c>
      <c r="D72" s="6" t="s">
        <v>533</v>
      </c>
      <c r="E72" s="6" t="s">
        <v>534</v>
      </c>
      <c r="F72" s="6" t="s">
        <v>138</v>
      </c>
      <c r="G72" s="6" t="s">
        <v>535</v>
      </c>
      <c r="H72" s="24">
        <v>29839.0</v>
      </c>
      <c r="I72" s="6" t="s">
        <v>117</v>
      </c>
      <c r="J72" s="6" t="s">
        <v>537</v>
      </c>
      <c r="K72" s="6" t="s">
        <v>73</v>
      </c>
      <c r="L72" s="6" t="s">
        <v>538</v>
      </c>
      <c r="M72" s="6" t="s">
        <v>474</v>
      </c>
    </row>
    <row r="73" ht="15.75" customHeight="1">
      <c r="A73" s="5" t="s">
        <v>539</v>
      </c>
      <c r="B73" s="6" t="s">
        <v>540</v>
      </c>
      <c r="C73" s="6" t="s">
        <v>82</v>
      </c>
      <c r="D73" s="6" t="s">
        <v>442</v>
      </c>
      <c r="E73" s="6" t="s">
        <v>542</v>
      </c>
      <c r="F73" s="6" t="s">
        <v>64</v>
      </c>
      <c r="G73" s="6" t="s">
        <v>93</v>
      </c>
      <c r="H73" s="6">
        <v>2020.0</v>
      </c>
      <c r="I73" s="6" t="s">
        <v>60</v>
      </c>
      <c r="J73" s="6" t="s">
        <v>544</v>
      </c>
      <c r="K73" s="6" t="s">
        <v>73</v>
      </c>
      <c r="L73" s="6" t="s">
        <v>390</v>
      </c>
      <c r="M73" s="6" t="s">
        <v>99</v>
      </c>
    </row>
    <row r="74" ht="15.75" customHeight="1">
      <c r="A74" s="5" t="s">
        <v>539</v>
      </c>
      <c r="B74" s="6" t="s">
        <v>540</v>
      </c>
      <c r="C74" s="6" t="s">
        <v>349</v>
      </c>
      <c r="D74" s="6" t="s">
        <v>350</v>
      </c>
      <c r="E74" s="6" t="s">
        <v>546</v>
      </c>
      <c r="F74" s="6" t="s">
        <v>161</v>
      </c>
      <c r="G74" s="6" t="s">
        <v>162</v>
      </c>
      <c r="H74" s="6" t="s">
        <v>476</v>
      </c>
      <c r="I74" s="6" t="s">
        <v>60</v>
      </c>
      <c r="J74" s="6" t="s">
        <v>547</v>
      </c>
      <c r="K74" s="6" t="s">
        <v>73</v>
      </c>
      <c r="L74" s="6" t="s">
        <v>548</v>
      </c>
      <c r="M74" s="6" t="s">
        <v>99</v>
      </c>
    </row>
    <row r="75" ht="15.75" customHeight="1">
      <c r="A75" s="5" t="s">
        <v>539</v>
      </c>
      <c r="B75" s="6" t="s">
        <v>540</v>
      </c>
      <c r="C75" s="6" t="s">
        <v>357</v>
      </c>
      <c r="D75" s="6" t="s">
        <v>358</v>
      </c>
      <c r="E75" s="6" t="s">
        <v>549</v>
      </c>
      <c r="F75" s="6" t="s">
        <v>161</v>
      </c>
      <c r="G75" s="6" t="s">
        <v>162</v>
      </c>
      <c r="H75" s="6" t="s">
        <v>510</v>
      </c>
      <c r="I75" s="6" t="s">
        <v>60</v>
      </c>
      <c r="J75" s="6" t="s">
        <v>550</v>
      </c>
      <c r="K75" s="6" t="s">
        <v>73</v>
      </c>
      <c r="L75" s="6" t="s">
        <v>362</v>
      </c>
      <c r="M75" s="6" t="s">
        <v>99</v>
      </c>
    </row>
    <row r="76" ht="15.75" customHeight="1">
      <c r="A76" s="5" t="s">
        <v>539</v>
      </c>
      <c r="B76" s="6" t="s">
        <v>540</v>
      </c>
      <c r="C76" s="6" t="s">
        <v>551</v>
      </c>
      <c r="D76" s="6" t="s">
        <v>552</v>
      </c>
      <c r="E76" s="6" t="s">
        <v>553</v>
      </c>
      <c r="F76" s="6" t="s">
        <v>208</v>
      </c>
      <c r="G76" s="6" t="s">
        <v>523</v>
      </c>
      <c r="H76" s="6">
        <v>1442538.88</v>
      </c>
      <c r="I76" s="6" t="s">
        <v>60</v>
      </c>
      <c r="J76" s="6" t="s">
        <v>554</v>
      </c>
      <c r="K76" s="6" t="s">
        <v>73</v>
      </c>
      <c r="L76" s="6" t="s">
        <v>556</v>
      </c>
      <c r="M76" s="6" t="s">
        <v>99</v>
      </c>
    </row>
    <row r="77" ht="15.75" customHeight="1">
      <c r="A77" s="5" t="s">
        <v>539</v>
      </c>
      <c r="B77" s="6" t="s">
        <v>540</v>
      </c>
      <c r="C77" s="6" t="s">
        <v>557</v>
      </c>
      <c r="D77" s="6" t="s">
        <v>558</v>
      </c>
      <c r="E77" s="6" t="s">
        <v>559</v>
      </c>
      <c r="F77" s="6" t="s">
        <v>208</v>
      </c>
      <c r="G77" s="6" t="s">
        <v>104</v>
      </c>
      <c r="H77" s="6">
        <v>289759.0</v>
      </c>
      <c r="I77" s="6" t="s">
        <v>60</v>
      </c>
      <c r="J77" s="6" t="s">
        <v>560</v>
      </c>
      <c r="K77" s="6" t="s">
        <v>73</v>
      </c>
      <c r="L77" s="6" t="s">
        <v>561</v>
      </c>
      <c r="M77" s="6" t="s">
        <v>99</v>
      </c>
    </row>
    <row r="78" ht="15.75" customHeight="1">
      <c r="A78" s="5" t="s">
        <v>539</v>
      </c>
      <c r="B78" s="6" t="s">
        <v>540</v>
      </c>
      <c r="C78" s="6" t="s">
        <v>563</v>
      </c>
      <c r="D78" s="6" t="s">
        <v>358</v>
      </c>
      <c r="E78" s="6" t="s">
        <v>565</v>
      </c>
      <c r="F78" s="6" t="s">
        <v>161</v>
      </c>
      <c r="G78" s="6" t="s">
        <v>162</v>
      </c>
      <c r="H78" s="6" t="s">
        <v>566</v>
      </c>
      <c r="I78" s="6" t="s">
        <v>60</v>
      </c>
      <c r="J78" s="6" t="s">
        <v>568</v>
      </c>
      <c r="K78" s="6" t="s">
        <v>73</v>
      </c>
      <c r="L78" s="6" t="s">
        <v>569</v>
      </c>
      <c r="M78" s="6" t="s">
        <v>99</v>
      </c>
    </row>
    <row r="79" ht="15.75" customHeight="1">
      <c r="A79" s="5" t="s">
        <v>570</v>
      </c>
      <c r="B79" s="6" t="s">
        <v>571</v>
      </c>
      <c r="C79" s="6" t="s">
        <v>82</v>
      </c>
      <c r="D79" s="6" t="s">
        <v>572</v>
      </c>
      <c r="E79" s="6" t="s">
        <v>573</v>
      </c>
      <c r="F79" s="6" t="s">
        <v>64</v>
      </c>
      <c r="G79" s="6" t="s">
        <v>93</v>
      </c>
      <c r="H79" s="6">
        <v>2025.0</v>
      </c>
      <c r="I79" s="6" t="s">
        <v>60</v>
      </c>
      <c r="J79" s="6" t="s">
        <v>574</v>
      </c>
      <c r="K79" s="6" t="s">
        <v>73</v>
      </c>
      <c r="L79" s="6" t="s">
        <v>575</v>
      </c>
      <c r="M79" s="6"/>
    </row>
    <row r="80" ht="15.75" customHeight="1">
      <c r="A80" s="5" t="s">
        <v>570</v>
      </c>
      <c r="B80" s="6" t="s">
        <v>571</v>
      </c>
      <c r="C80" s="6" t="s">
        <v>576</v>
      </c>
      <c r="D80" s="6" t="s">
        <v>577</v>
      </c>
      <c r="E80" s="6" t="s">
        <v>578</v>
      </c>
      <c r="F80" s="6" t="s">
        <v>64</v>
      </c>
      <c r="G80" s="6" t="s">
        <v>523</v>
      </c>
      <c r="H80" s="6">
        <v>3.96419705E8</v>
      </c>
      <c r="I80" s="6" t="s">
        <v>60</v>
      </c>
      <c r="J80" s="6" t="s">
        <v>579</v>
      </c>
      <c r="K80" s="6" t="s">
        <v>73</v>
      </c>
      <c r="L80" s="6" t="s">
        <v>580</v>
      </c>
      <c r="M80" s="6"/>
    </row>
    <row r="81" ht="15.75" customHeight="1">
      <c r="A81" s="5" t="s">
        <v>581</v>
      </c>
      <c r="B81" s="6" t="s">
        <v>582</v>
      </c>
      <c r="C81" s="6" t="s">
        <v>222</v>
      </c>
      <c r="D81" s="6" t="s">
        <v>583</v>
      </c>
      <c r="E81" s="6" t="s">
        <v>584</v>
      </c>
      <c r="F81" s="6" t="s">
        <v>161</v>
      </c>
      <c r="G81" s="6" t="s">
        <v>162</v>
      </c>
      <c r="H81" s="25" t="s">
        <v>588</v>
      </c>
      <c r="I81" s="6" t="s">
        <v>60</v>
      </c>
      <c r="J81" s="6" t="s">
        <v>237</v>
      </c>
      <c r="K81" s="6" t="s">
        <v>73</v>
      </c>
      <c r="L81" s="6" t="s">
        <v>162</v>
      </c>
      <c r="M81" s="6" t="s">
        <v>99</v>
      </c>
    </row>
    <row r="82" ht="15.75" customHeight="1">
      <c r="A82" s="5" t="s">
        <v>581</v>
      </c>
      <c r="B82" s="6" t="s">
        <v>582</v>
      </c>
      <c r="C82" s="6" t="s">
        <v>590</v>
      </c>
      <c r="D82" s="6" t="s">
        <v>591</v>
      </c>
      <c r="E82" s="6" t="s">
        <v>592</v>
      </c>
      <c r="F82" s="6" t="s">
        <v>161</v>
      </c>
      <c r="G82" s="6" t="s">
        <v>162</v>
      </c>
      <c r="H82" s="6" t="s">
        <v>593</v>
      </c>
      <c r="I82" s="6" t="s">
        <v>60</v>
      </c>
      <c r="J82" s="6" t="s">
        <v>393</v>
      </c>
      <c r="K82" s="6" t="s">
        <v>73</v>
      </c>
      <c r="L82" s="6" t="s">
        <v>594</v>
      </c>
      <c r="M82" s="6" t="s">
        <v>99</v>
      </c>
    </row>
    <row r="83" ht="15.75" customHeight="1">
      <c r="A83" s="5" t="s">
        <v>581</v>
      </c>
      <c r="B83" s="6" t="s">
        <v>582</v>
      </c>
      <c r="C83" s="6" t="s">
        <v>595</v>
      </c>
      <c r="D83" s="6" t="s">
        <v>596</v>
      </c>
      <c r="E83" s="6" t="s">
        <v>597</v>
      </c>
      <c r="F83" s="6" t="s">
        <v>161</v>
      </c>
      <c r="G83" s="6" t="s">
        <v>162</v>
      </c>
      <c r="H83" s="6" t="s">
        <v>598</v>
      </c>
      <c r="I83" s="6" t="s">
        <v>60</v>
      </c>
      <c r="J83" s="6" t="s">
        <v>599</v>
      </c>
      <c r="K83" s="6" t="s">
        <v>73</v>
      </c>
      <c r="L83" s="6" t="s">
        <v>600</v>
      </c>
      <c r="M83" s="6" t="s">
        <v>99</v>
      </c>
    </row>
    <row r="84" ht="15.75" customHeight="1">
      <c r="A84" s="5" t="s">
        <v>581</v>
      </c>
      <c r="B84" s="6" t="s">
        <v>582</v>
      </c>
      <c r="C84" s="6" t="s">
        <v>601</v>
      </c>
      <c r="D84" s="6" t="s">
        <v>602</v>
      </c>
      <c r="E84" s="6" t="s">
        <v>603</v>
      </c>
      <c r="F84" s="6" t="s">
        <v>604</v>
      </c>
      <c r="G84" s="6" t="s">
        <v>605</v>
      </c>
      <c r="H84" s="26">
        <v>0.19444444444444445</v>
      </c>
      <c r="I84" s="6" t="s">
        <v>60</v>
      </c>
      <c r="J84" s="6" t="s">
        <v>607</v>
      </c>
      <c r="K84" s="6" t="s">
        <v>73</v>
      </c>
      <c r="L84" s="6" t="s">
        <v>608</v>
      </c>
      <c r="M84" s="6" t="s">
        <v>99</v>
      </c>
    </row>
    <row r="85" ht="15.75" customHeight="1">
      <c r="A85" s="5" t="s">
        <v>581</v>
      </c>
      <c r="B85" s="6" t="s">
        <v>582</v>
      </c>
      <c r="C85" s="6" t="s">
        <v>609</v>
      </c>
      <c r="D85" s="6" t="s">
        <v>610</v>
      </c>
      <c r="E85" s="6" t="s">
        <v>612</v>
      </c>
      <c r="F85" s="6" t="s">
        <v>604</v>
      </c>
      <c r="G85" s="6" t="s">
        <v>605</v>
      </c>
      <c r="H85" s="26">
        <v>0.013888888888888888</v>
      </c>
      <c r="I85" s="6" t="s">
        <v>60</v>
      </c>
      <c r="J85" s="6" t="s">
        <v>614</v>
      </c>
      <c r="K85" s="6" t="s">
        <v>73</v>
      </c>
      <c r="L85" s="6" t="s">
        <v>608</v>
      </c>
      <c r="M85" s="6" t="s">
        <v>99</v>
      </c>
    </row>
    <row r="86" ht="15.75" customHeight="1">
      <c r="A86" s="5" t="s">
        <v>581</v>
      </c>
      <c r="B86" s="6" t="s">
        <v>582</v>
      </c>
      <c r="C86" s="6" t="s">
        <v>616</v>
      </c>
      <c r="D86" s="6" t="s">
        <v>617</v>
      </c>
      <c r="E86" s="6" t="s">
        <v>618</v>
      </c>
      <c r="F86" s="6" t="s">
        <v>161</v>
      </c>
      <c r="G86" s="6" t="s">
        <v>162</v>
      </c>
      <c r="H86" s="6" t="s">
        <v>619</v>
      </c>
      <c r="I86" s="6" t="s">
        <v>60</v>
      </c>
      <c r="J86" s="6" t="s">
        <v>620</v>
      </c>
      <c r="K86" s="6" t="s">
        <v>73</v>
      </c>
      <c r="L86" s="6" t="s">
        <v>621</v>
      </c>
      <c r="M86" s="6" t="s">
        <v>99</v>
      </c>
    </row>
    <row r="87" ht="15.75" customHeight="1">
      <c r="A87" s="5" t="s">
        <v>622</v>
      </c>
      <c r="B87" s="6" t="s">
        <v>623</v>
      </c>
      <c r="C87" s="6" t="s">
        <v>624</v>
      </c>
      <c r="D87" s="6" t="s">
        <v>625</v>
      </c>
      <c r="E87" s="6" t="s">
        <v>626</v>
      </c>
      <c r="F87" s="6" t="s">
        <v>161</v>
      </c>
      <c r="G87" s="6" t="s">
        <v>162</v>
      </c>
      <c r="H87" s="6">
        <v>8.0014567E7</v>
      </c>
      <c r="I87" s="6" t="s">
        <v>60</v>
      </c>
      <c r="J87" s="6" t="s">
        <v>627</v>
      </c>
      <c r="K87" s="6" t="s">
        <v>73</v>
      </c>
      <c r="L87" s="6" t="s">
        <v>628</v>
      </c>
      <c r="M87" s="6" t="s">
        <v>99</v>
      </c>
    </row>
    <row r="88" ht="15.75" customHeight="1">
      <c r="A88" s="5" t="s">
        <v>622</v>
      </c>
      <c r="B88" s="6" t="s">
        <v>623</v>
      </c>
      <c r="C88" s="6" t="s">
        <v>629</v>
      </c>
      <c r="D88" s="6" t="s">
        <v>630</v>
      </c>
      <c r="E88" s="6" t="s">
        <v>631</v>
      </c>
      <c r="F88" s="6" t="s">
        <v>161</v>
      </c>
      <c r="G88" s="6" t="s">
        <v>162</v>
      </c>
      <c r="H88" s="6" t="s">
        <v>632</v>
      </c>
      <c r="I88" s="6" t="s">
        <v>60</v>
      </c>
      <c r="J88" s="6" t="s">
        <v>393</v>
      </c>
      <c r="K88" s="6" t="s">
        <v>73</v>
      </c>
      <c r="L88" s="6" t="s">
        <v>633</v>
      </c>
      <c r="M88" s="6" t="s">
        <v>99</v>
      </c>
    </row>
    <row r="89" ht="15.75" customHeight="1">
      <c r="A89" s="5" t="s">
        <v>622</v>
      </c>
      <c r="B89" s="6" t="s">
        <v>623</v>
      </c>
      <c r="C89" s="6" t="s">
        <v>634</v>
      </c>
      <c r="D89" s="6" t="s">
        <v>636</v>
      </c>
      <c r="E89" s="6" t="s">
        <v>637</v>
      </c>
      <c r="F89" s="6" t="s">
        <v>161</v>
      </c>
      <c r="G89" s="6" t="s">
        <v>162</v>
      </c>
      <c r="H89" s="6" t="s">
        <v>638</v>
      </c>
      <c r="I89" s="6" t="s">
        <v>117</v>
      </c>
      <c r="J89" s="6" t="s">
        <v>393</v>
      </c>
      <c r="K89" s="6" t="s">
        <v>73</v>
      </c>
      <c r="L89" s="6" t="s">
        <v>633</v>
      </c>
      <c r="M89" s="6" t="s">
        <v>99</v>
      </c>
    </row>
    <row r="90" ht="15.75" customHeight="1">
      <c r="A90" s="5" t="s">
        <v>639</v>
      </c>
      <c r="B90" s="6" t="s">
        <v>640</v>
      </c>
      <c r="C90" s="6" t="s">
        <v>222</v>
      </c>
      <c r="D90" s="6" t="s">
        <v>642</v>
      </c>
      <c r="E90" s="6" t="s">
        <v>643</v>
      </c>
      <c r="F90" s="6" t="s">
        <v>64</v>
      </c>
      <c r="G90" s="6" t="s">
        <v>162</v>
      </c>
      <c r="H90" s="6">
        <v>9.0</v>
      </c>
      <c r="I90" s="6" t="s">
        <v>60</v>
      </c>
      <c r="J90" s="6" t="s">
        <v>645</v>
      </c>
      <c r="K90" s="6" t="s">
        <v>73</v>
      </c>
      <c r="L90" s="6" t="s">
        <v>162</v>
      </c>
      <c r="M90" s="6" t="s">
        <v>99</v>
      </c>
    </row>
    <row r="91" ht="15.75" customHeight="1">
      <c r="A91" s="5" t="s">
        <v>639</v>
      </c>
      <c r="B91" s="6" t="s">
        <v>640</v>
      </c>
      <c r="C91" s="6" t="s">
        <v>227</v>
      </c>
      <c r="D91" s="6" t="s">
        <v>647</v>
      </c>
      <c r="E91" s="6" t="s">
        <v>648</v>
      </c>
      <c r="F91" s="6" t="s">
        <v>161</v>
      </c>
      <c r="G91" s="6" t="s">
        <v>162</v>
      </c>
      <c r="H91" s="6" t="s">
        <v>649</v>
      </c>
      <c r="I91" s="6" t="s">
        <v>60</v>
      </c>
      <c r="J91" s="6" t="s">
        <v>650</v>
      </c>
      <c r="K91" s="6" t="s">
        <v>73</v>
      </c>
      <c r="L91" s="6" t="s">
        <v>162</v>
      </c>
      <c r="M91" s="6" t="s">
        <v>99</v>
      </c>
    </row>
    <row r="92" ht="15.75" customHeight="1">
      <c r="A92" s="5" t="s">
        <v>639</v>
      </c>
      <c r="B92" s="6" t="s">
        <v>640</v>
      </c>
      <c r="C92" s="6" t="s">
        <v>616</v>
      </c>
      <c r="D92" s="6" t="s">
        <v>617</v>
      </c>
      <c r="E92" s="6" t="s">
        <v>651</v>
      </c>
      <c r="F92" s="6" t="s">
        <v>161</v>
      </c>
      <c r="G92" s="6" t="s">
        <v>162</v>
      </c>
      <c r="H92" s="6" t="s">
        <v>652</v>
      </c>
      <c r="I92" s="6" t="s">
        <v>60</v>
      </c>
      <c r="J92" s="6" t="s">
        <v>653</v>
      </c>
      <c r="K92" s="6" t="s">
        <v>73</v>
      </c>
      <c r="L92" s="6" t="s">
        <v>654</v>
      </c>
      <c r="M92" s="6" t="s">
        <v>99</v>
      </c>
    </row>
    <row r="93" ht="15.75" customHeight="1">
      <c r="A93" s="5" t="s">
        <v>655</v>
      </c>
      <c r="B93" s="6" t="s">
        <v>656</v>
      </c>
      <c r="C93" s="6" t="s">
        <v>657</v>
      </c>
      <c r="D93" s="6" t="s">
        <v>658</v>
      </c>
      <c r="E93" s="6" t="s">
        <v>659</v>
      </c>
      <c r="F93" s="6" t="s">
        <v>161</v>
      </c>
      <c r="G93" s="6" t="s">
        <v>162</v>
      </c>
      <c r="H93" s="6" t="s">
        <v>660</v>
      </c>
      <c r="I93" s="6" t="s">
        <v>60</v>
      </c>
      <c r="J93" s="6" t="s">
        <v>661</v>
      </c>
      <c r="K93" s="6" t="s">
        <v>73</v>
      </c>
      <c r="L93" s="6" t="s">
        <v>662</v>
      </c>
      <c r="M93" s="6"/>
    </row>
    <row r="94" ht="15.75" customHeight="1">
      <c r="A94" s="5" t="s">
        <v>655</v>
      </c>
      <c r="B94" s="6" t="s">
        <v>656</v>
      </c>
      <c r="C94" s="6" t="s">
        <v>505</v>
      </c>
      <c r="D94" s="6" t="s">
        <v>664</v>
      </c>
      <c r="E94" s="6" t="s">
        <v>665</v>
      </c>
      <c r="F94" s="6" t="s">
        <v>161</v>
      </c>
      <c r="G94" s="6" t="s">
        <v>162</v>
      </c>
      <c r="H94" s="6" t="s">
        <v>666</v>
      </c>
      <c r="I94" s="6" t="s">
        <v>60</v>
      </c>
      <c r="J94" s="6" t="s">
        <v>393</v>
      </c>
      <c r="K94" s="6" t="s">
        <v>432</v>
      </c>
      <c r="L94" s="6" t="s">
        <v>667</v>
      </c>
      <c r="M94" s="6"/>
    </row>
    <row r="95" ht="15.75" customHeight="1">
      <c r="A95" s="5" t="s">
        <v>655</v>
      </c>
      <c r="B95" s="6" t="s">
        <v>656</v>
      </c>
      <c r="C95" s="6" t="s">
        <v>670</v>
      </c>
      <c r="D95" s="6" t="s">
        <v>671</v>
      </c>
      <c r="E95" s="6" t="s">
        <v>673</v>
      </c>
      <c r="F95" s="6" t="s">
        <v>161</v>
      </c>
      <c r="G95" s="6" t="s">
        <v>162</v>
      </c>
      <c r="H95" s="6" t="s">
        <v>674</v>
      </c>
      <c r="I95" s="6" t="s">
        <v>60</v>
      </c>
      <c r="J95" s="6" t="s">
        <v>393</v>
      </c>
      <c r="K95" s="6" t="s">
        <v>432</v>
      </c>
      <c r="L95" s="6" t="s">
        <v>667</v>
      </c>
      <c r="M95" s="6"/>
    </row>
    <row r="96" ht="15.75" customHeight="1">
      <c r="A96" s="5" t="s">
        <v>655</v>
      </c>
      <c r="B96" s="6" t="s">
        <v>656</v>
      </c>
      <c r="C96" s="6" t="s">
        <v>675</v>
      </c>
      <c r="D96" s="6" t="s">
        <v>676</v>
      </c>
      <c r="E96" s="6" t="s">
        <v>677</v>
      </c>
      <c r="F96" s="6" t="s">
        <v>64</v>
      </c>
      <c r="G96" s="6" t="s">
        <v>678</v>
      </c>
      <c r="H96" s="6">
        <v>1007.0</v>
      </c>
      <c r="I96" s="6" t="s">
        <v>117</v>
      </c>
      <c r="J96" s="6" t="s">
        <v>679</v>
      </c>
      <c r="K96" s="6" t="s">
        <v>73</v>
      </c>
      <c r="L96" s="6" t="s">
        <v>162</v>
      </c>
      <c r="M96" s="6"/>
    </row>
    <row r="97" ht="15.75" customHeight="1">
      <c r="A97" s="5" t="s">
        <v>655</v>
      </c>
      <c r="B97" s="6" t="s">
        <v>656</v>
      </c>
      <c r="C97" s="6" t="s">
        <v>680</v>
      </c>
      <c r="D97" s="6" t="s">
        <v>681</v>
      </c>
      <c r="E97" s="6" t="s">
        <v>682</v>
      </c>
      <c r="F97" s="6" t="s">
        <v>208</v>
      </c>
      <c r="G97" s="6" t="s">
        <v>523</v>
      </c>
      <c r="H97" s="6">
        <v>67030.96</v>
      </c>
      <c r="I97" s="6" t="s">
        <v>60</v>
      </c>
      <c r="J97" s="6" t="s">
        <v>683</v>
      </c>
      <c r="K97" s="6" t="s">
        <v>73</v>
      </c>
      <c r="L97" s="6" t="s">
        <v>162</v>
      </c>
      <c r="M97" s="6"/>
    </row>
    <row r="98" ht="15.75" customHeight="1">
      <c r="A98" s="5" t="s">
        <v>655</v>
      </c>
      <c r="B98" s="6" t="s">
        <v>656</v>
      </c>
      <c r="C98" s="6" t="s">
        <v>684</v>
      </c>
      <c r="D98" s="6" t="s">
        <v>685</v>
      </c>
      <c r="E98" s="6" t="s">
        <v>686</v>
      </c>
      <c r="F98" s="6" t="s">
        <v>64</v>
      </c>
      <c r="G98" s="6" t="s">
        <v>93</v>
      </c>
      <c r="H98" s="6">
        <v>1993.0</v>
      </c>
      <c r="I98" s="6" t="s">
        <v>117</v>
      </c>
      <c r="J98" s="6" t="s">
        <v>687</v>
      </c>
      <c r="K98" s="6" t="s">
        <v>73</v>
      </c>
      <c r="L98" s="6" t="s">
        <v>162</v>
      </c>
      <c r="M98" s="6"/>
    </row>
    <row r="99" ht="15.75" customHeight="1">
      <c r="A99" s="5" t="s">
        <v>655</v>
      </c>
      <c r="B99" s="6" t="s">
        <v>656</v>
      </c>
      <c r="C99" s="6" t="s">
        <v>688</v>
      </c>
      <c r="D99" s="6" t="s">
        <v>689</v>
      </c>
      <c r="E99" s="6" t="s">
        <v>690</v>
      </c>
      <c r="F99" s="6" t="s">
        <v>161</v>
      </c>
      <c r="G99" s="6" t="s">
        <v>162</v>
      </c>
      <c r="H99" s="6" t="s">
        <v>73</v>
      </c>
      <c r="I99" s="6" t="s">
        <v>60</v>
      </c>
      <c r="J99" s="6" t="s">
        <v>692</v>
      </c>
      <c r="K99" s="6" t="s">
        <v>432</v>
      </c>
      <c r="L99" s="6" t="s">
        <v>667</v>
      </c>
      <c r="M99" s="6"/>
    </row>
    <row r="100" ht="15.75" customHeight="1">
      <c r="A100" s="5" t="s">
        <v>693</v>
      </c>
      <c r="B100" s="6" t="s">
        <v>694</v>
      </c>
      <c r="C100" s="6" t="s">
        <v>695</v>
      </c>
      <c r="D100" s="6" t="s">
        <v>696</v>
      </c>
      <c r="E100" s="6" t="s">
        <v>697</v>
      </c>
      <c r="F100" s="6" t="s">
        <v>64</v>
      </c>
      <c r="G100" s="6" t="s">
        <v>162</v>
      </c>
      <c r="H100" s="6">
        <v>90297.0</v>
      </c>
      <c r="I100" s="6" t="s">
        <v>60</v>
      </c>
      <c r="J100" s="6" t="s">
        <v>698</v>
      </c>
      <c r="K100" s="6" t="s">
        <v>73</v>
      </c>
      <c r="L100" s="6" t="s">
        <v>700</v>
      </c>
      <c r="M100" s="6" t="s">
        <v>99</v>
      </c>
    </row>
    <row r="101" ht="15.75" customHeight="1">
      <c r="A101" s="5" t="s">
        <v>693</v>
      </c>
      <c r="B101" s="6" t="s">
        <v>694</v>
      </c>
      <c r="C101" s="6" t="s">
        <v>505</v>
      </c>
      <c r="D101" s="6" t="s">
        <v>702</v>
      </c>
      <c r="E101" s="6" t="s">
        <v>703</v>
      </c>
      <c r="F101" s="6" t="s">
        <v>161</v>
      </c>
      <c r="G101" s="6" t="s">
        <v>162</v>
      </c>
      <c r="H101" s="6" t="s">
        <v>704</v>
      </c>
      <c r="I101" s="6" t="s">
        <v>60</v>
      </c>
      <c r="J101" s="6" t="s">
        <v>393</v>
      </c>
      <c r="K101" s="6" t="s">
        <v>73</v>
      </c>
      <c r="L101" s="6" t="s">
        <v>705</v>
      </c>
      <c r="M101" s="6" t="s">
        <v>99</v>
      </c>
    </row>
    <row r="102" ht="15.75" customHeight="1">
      <c r="A102" s="5" t="s">
        <v>693</v>
      </c>
      <c r="B102" s="6" t="s">
        <v>694</v>
      </c>
      <c r="C102" s="6" t="s">
        <v>191</v>
      </c>
      <c r="D102" s="6" t="s">
        <v>706</v>
      </c>
      <c r="E102" s="6" t="s">
        <v>707</v>
      </c>
      <c r="F102" s="6" t="s">
        <v>161</v>
      </c>
      <c r="G102" s="6" t="s">
        <v>162</v>
      </c>
      <c r="H102" s="6" t="s">
        <v>708</v>
      </c>
      <c r="I102" s="6" t="s">
        <v>60</v>
      </c>
      <c r="J102" s="6" t="s">
        <v>709</v>
      </c>
      <c r="K102" s="6" t="s">
        <v>73</v>
      </c>
      <c r="L102" s="6" t="s">
        <v>710</v>
      </c>
      <c r="M102" s="6" t="s">
        <v>99</v>
      </c>
    </row>
    <row r="103" ht="15.75" customHeight="1">
      <c r="A103" s="5" t="s">
        <v>693</v>
      </c>
      <c r="B103" s="6" t="s">
        <v>694</v>
      </c>
      <c r="C103" s="6" t="s">
        <v>711</v>
      </c>
      <c r="D103" s="6" t="s">
        <v>712</v>
      </c>
      <c r="E103" s="6" t="s">
        <v>713</v>
      </c>
      <c r="F103" s="6" t="s">
        <v>161</v>
      </c>
      <c r="G103" s="6" t="s">
        <v>162</v>
      </c>
      <c r="H103" s="6" t="s">
        <v>714</v>
      </c>
      <c r="I103" s="6" t="s">
        <v>60</v>
      </c>
      <c r="J103" s="6" t="s">
        <v>715</v>
      </c>
      <c r="K103" s="6" t="s">
        <v>73</v>
      </c>
      <c r="L103" s="6" t="s">
        <v>667</v>
      </c>
      <c r="M103" s="6" t="s">
        <v>99</v>
      </c>
    </row>
    <row r="104" ht="15.75" customHeight="1">
      <c r="A104" s="5" t="s">
        <v>693</v>
      </c>
      <c r="B104" s="6" t="s">
        <v>694</v>
      </c>
      <c r="C104" s="6" t="s">
        <v>716</v>
      </c>
      <c r="D104" s="6" t="s">
        <v>717</v>
      </c>
      <c r="E104" s="6" t="s">
        <v>719</v>
      </c>
      <c r="F104" s="6" t="s">
        <v>161</v>
      </c>
      <c r="G104" s="6" t="s">
        <v>162</v>
      </c>
      <c r="H104" s="6" t="s">
        <v>720</v>
      </c>
      <c r="I104" s="6" t="s">
        <v>60</v>
      </c>
      <c r="J104" s="6" t="s">
        <v>393</v>
      </c>
      <c r="K104" s="6" t="s">
        <v>73</v>
      </c>
      <c r="L104" s="6" t="s">
        <v>667</v>
      </c>
      <c r="M104" s="6" t="s">
        <v>99</v>
      </c>
    </row>
    <row r="105" ht="15.75" customHeight="1">
      <c r="A105" s="5" t="s">
        <v>693</v>
      </c>
      <c r="B105" s="6" t="s">
        <v>694</v>
      </c>
      <c r="C105" s="6" t="s">
        <v>722</v>
      </c>
      <c r="D105" s="6" t="s">
        <v>723</v>
      </c>
      <c r="E105" s="6" t="s">
        <v>724</v>
      </c>
      <c r="F105" s="6" t="s">
        <v>161</v>
      </c>
      <c r="G105" s="6" t="s">
        <v>162</v>
      </c>
      <c r="H105" s="6" t="s">
        <v>727</v>
      </c>
      <c r="I105" s="6" t="s">
        <v>117</v>
      </c>
      <c r="J105" s="6" t="s">
        <v>393</v>
      </c>
      <c r="K105" s="6" t="s">
        <v>73</v>
      </c>
      <c r="L105" s="6" t="s">
        <v>728</v>
      </c>
      <c r="M105" s="6" t="s">
        <v>99</v>
      </c>
    </row>
    <row r="106" ht="15.75" customHeight="1">
      <c r="A106" s="5" t="s">
        <v>730</v>
      </c>
      <c r="B106" s="6" t="s">
        <v>731</v>
      </c>
      <c r="C106" s="6" t="s">
        <v>222</v>
      </c>
      <c r="D106" s="6" t="s">
        <v>642</v>
      </c>
      <c r="E106" s="6" t="s">
        <v>732</v>
      </c>
      <c r="F106" s="6" t="s">
        <v>64</v>
      </c>
      <c r="G106" s="6" t="s">
        <v>162</v>
      </c>
      <c r="H106" s="6">
        <v>15.0</v>
      </c>
      <c r="I106" s="6" t="s">
        <v>60</v>
      </c>
      <c r="J106" s="6" t="s">
        <v>733</v>
      </c>
      <c r="K106" s="6" t="s">
        <v>73</v>
      </c>
      <c r="L106" s="6" t="s">
        <v>162</v>
      </c>
      <c r="M106" s="6" t="s">
        <v>99</v>
      </c>
    </row>
    <row r="107" ht="15.75" customHeight="1">
      <c r="A107" s="5" t="s">
        <v>730</v>
      </c>
      <c r="B107" s="6" t="s">
        <v>731</v>
      </c>
      <c r="C107" s="6" t="s">
        <v>227</v>
      </c>
      <c r="D107" s="6" t="s">
        <v>647</v>
      </c>
      <c r="E107" s="6" t="s">
        <v>648</v>
      </c>
      <c r="F107" s="6" t="s">
        <v>161</v>
      </c>
      <c r="G107" s="6" t="s">
        <v>162</v>
      </c>
      <c r="H107" s="6" t="s">
        <v>734</v>
      </c>
      <c r="I107" s="6" t="s">
        <v>60</v>
      </c>
      <c r="J107" s="6" t="s">
        <v>735</v>
      </c>
      <c r="K107" s="6" t="s">
        <v>73</v>
      </c>
      <c r="L107" s="6" t="s">
        <v>736</v>
      </c>
      <c r="M107" s="6" t="s">
        <v>99</v>
      </c>
    </row>
    <row r="108" ht="15.75" customHeight="1">
      <c r="A108" s="5" t="s">
        <v>730</v>
      </c>
      <c r="B108" s="6" t="s">
        <v>731</v>
      </c>
      <c r="C108" s="6" t="s">
        <v>616</v>
      </c>
      <c r="D108" s="6" t="s">
        <v>617</v>
      </c>
      <c r="E108" s="6" t="s">
        <v>651</v>
      </c>
      <c r="F108" s="6" t="s">
        <v>161</v>
      </c>
      <c r="G108" s="6" t="s">
        <v>162</v>
      </c>
      <c r="H108" s="6" t="s">
        <v>737</v>
      </c>
      <c r="I108" s="6" t="s">
        <v>60</v>
      </c>
      <c r="J108" s="6" t="s">
        <v>738</v>
      </c>
      <c r="K108" s="6" t="s">
        <v>73</v>
      </c>
      <c r="L108" s="6" t="s">
        <v>739</v>
      </c>
      <c r="M108" s="6" t="s">
        <v>99</v>
      </c>
    </row>
    <row r="109" ht="15.75" customHeight="1">
      <c r="A109" s="5" t="s">
        <v>730</v>
      </c>
      <c r="B109" s="6" t="s">
        <v>731</v>
      </c>
      <c r="C109" s="6" t="s">
        <v>741</v>
      </c>
      <c r="D109" s="6" t="s">
        <v>358</v>
      </c>
      <c r="E109" s="6" t="s">
        <v>742</v>
      </c>
      <c r="F109" s="6" t="s">
        <v>161</v>
      </c>
      <c r="G109" s="6" t="s">
        <v>162</v>
      </c>
      <c r="H109" s="6" t="s">
        <v>743</v>
      </c>
      <c r="I109" s="6" t="s">
        <v>60</v>
      </c>
      <c r="J109" s="6" t="s">
        <v>745</v>
      </c>
      <c r="K109" s="6" t="s">
        <v>73</v>
      </c>
      <c r="L109" s="6" t="s">
        <v>746</v>
      </c>
      <c r="M109" s="6" t="s">
        <v>99</v>
      </c>
    </row>
    <row r="110" ht="15.75" customHeight="1">
      <c r="A110" s="5" t="s">
        <v>747</v>
      </c>
      <c r="B110" s="6" t="s">
        <v>749</v>
      </c>
      <c r="C110" s="6" t="s">
        <v>750</v>
      </c>
      <c r="D110" s="6" t="s">
        <v>696</v>
      </c>
      <c r="E110" s="6" t="s">
        <v>752</v>
      </c>
      <c r="F110" s="6" t="s">
        <v>64</v>
      </c>
      <c r="G110" s="6" t="s">
        <v>162</v>
      </c>
      <c r="H110" s="6">
        <v>13.0</v>
      </c>
      <c r="I110" s="6" t="s">
        <v>60</v>
      </c>
      <c r="J110" s="6" t="s">
        <v>754</v>
      </c>
      <c r="K110" s="6" t="s">
        <v>73</v>
      </c>
      <c r="L110" s="6" t="s">
        <v>700</v>
      </c>
      <c r="M110" s="6" t="s">
        <v>99</v>
      </c>
    </row>
    <row r="111" ht="15.75" customHeight="1">
      <c r="A111" s="5" t="s">
        <v>747</v>
      </c>
      <c r="B111" s="6" t="s">
        <v>749</v>
      </c>
      <c r="C111" s="6" t="s">
        <v>755</v>
      </c>
      <c r="D111" s="6" t="s">
        <v>756</v>
      </c>
      <c r="E111" s="6" t="s">
        <v>757</v>
      </c>
      <c r="F111" s="6" t="s">
        <v>161</v>
      </c>
      <c r="G111" s="6" t="s">
        <v>162</v>
      </c>
      <c r="H111" s="6" t="s">
        <v>758</v>
      </c>
      <c r="I111" s="6" t="s">
        <v>60</v>
      </c>
      <c r="J111" s="6" t="s">
        <v>393</v>
      </c>
      <c r="K111" s="6" t="s">
        <v>73</v>
      </c>
      <c r="L111" s="6" t="s">
        <v>667</v>
      </c>
      <c r="M111" s="6" t="s">
        <v>99</v>
      </c>
    </row>
    <row r="112" ht="15.75" customHeight="1">
      <c r="A112" s="5" t="s">
        <v>747</v>
      </c>
      <c r="B112" s="6" t="s">
        <v>749</v>
      </c>
      <c r="C112" s="6" t="s">
        <v>222</v>
      </c>
      <c r="D112" s="6" t="s">
        <v>642</v>
      </c>
      <c r="E112" s="6" t="s">
        <v>759</v>
      </c>
      <c r="F112" s="6" t="s">
        <v>64</v>
      </c>
      <c r="G112" s="6" t="s">
        <v>162</v>
      </c>
      <c r="H112" s="6">
        <v>3.0</v>
      </c>
      <c r="I112" s="6" t="s">
        <v>60</v>
      </c>
      <c r="J112" s="6" t="s">
        <v>760</v>
      </c>
      <c r="K112" s="6" t="s">
        <v>73</v>
      </c>
      <c r="L112" s="6" t="s">
        <v>162</v>
      </c>
      <c r="M112" s="6" t="s">
        <v>99</v>
      </c>
    </row>
    <row r="113" ht="15.75" customHeight="1">
      <c r="A113" s="5" t="s">
        <v>747</v>
      </c>
      <c r="B113" s="6" t="s">
        <v>749</v>
      </c>
      <c r="C113" s="6" t="s">
        <v>761</v>
      </c>
      <c r="D113" s="6" t="s">
        <v>762</v>
      </c>
      <c r="E113" s="6" t="s">
        <v>763</v>
      </c>
      <c r="F113" s="6" t="s">
        <v>161</v>
      </c>
      <c r="G113" s="6" t="s">
        <v>162</v>
      </c>
      <c r="H113" s="6" t="s">
        <v>764</v>
      </c>
      <c r="I113" s="6" t="s">
        <v>60</v>
      </c>
      <c r="J113" s="6" t="s">
        <v>765</v>
      </c>
      <c r="K113" s="6" t="s">
        <v>73</v>
      </c>
      <c r="L113" s="6" t="s">
        <v>600</v>
      </c>
      <c r="M113" s="6" t="s">
        <v>99</v>
      </c>
    </row>
    <row r="114" ht="15.75" customHeight="1">
      <c r="A114" s="5" t="s">
        <v>766</v>
      </c>
      <c r="B114" s="6" t="s">
        <v>767</v>
      </c>
      <c r="C114" s="6" t="s">
        <v>695</v>
      </c>
      <c r="D114" s="6" t="s">
        <v>696</v>
      </c>
      <c r="E114" s="6" t="s">
        <v>772</v>
      </c>
      <c r="F114" s="6" t="s">
        <v>64</v>
      </c>
      <c r="G114" s="6" t="s">
        <v>162</v>
      </c>
      <c r="H114" s="6">
        <v>40249.0</v>
      </c>
      <c r="I114" s="6" t="s">
        <v>60</v>
      </c>
      <c r="J114" s="6" t="s">
        <v>773</v>
      </c>
      <c r="K114" s="6" t="s">
        <v>73</v>
      </c>
      <c r="L114" s="6" t="s">
        <v>774</v>
      </c>
      <c r="M114" s="6" t="s">
        <v>99</v>
      </c>
    </row>
    <row r="115" ht="15.75" customHeight="1">
      <c r="A115" s="5" t="s">
        <v>766</v>
      </c>
      <c r="B115" s="6" t="s">
        <v>767</v>
      </c>
      <c r="C115" s="6" t="s">
        <v>775</v>
      </c>
      <c r="D115" s="6" t="s">
        <v>776</v>
      </c>
      <c r="E115" s="6" t="s">
        <v>777</v>
      </c>
      <c r="F115" s="6" t="s">
        <v>161</v>
      </c>
      <c r="G115" s="6" t="s">
        <v>162</v>
      </c>
      <c r="H115" s="6" t="s">
        <v>778</v>
      </c>
      <c r="I115" s="6" t="s">
        <v>60</v>
      </c>
      <c r="J115" s="6" t="s">
        <v>779</v>
      </c>
      <c r="K115" s="6" t="s">
        <v>73</v>
      </c>
      <c r="L115" s="6" t="s">
        <v>780</v>
      </c>
      <c r="M115" s="6" t="s">
        <v>99</v>
      </c>
    </row>
    <row r="116" ht="15.75" customHeight="1">
      <c r="A116" s="5" t="s">
        <v>766</v>
      </c>
      <c r="B116" s="6" t="s">
        <v>767</v>
      </c>
      <c r="C116" s="6" t="s">
        <v>191</v>
      </c>
      <c r="D116" s="6" t="s">
        <v>706</v>
      </c>
      <c r="E116" s="6" t="s">
        <v>782</v>
      </c>
      <c r="F116" s="6" t="s">
        <v>161</v>
      </c>
      <c r="G116" s="6" t="s">
        <v>162</v>
      </c>
      <c r="H116" s="6" t="s">
        <v>783</v>
      </c>
      <c r="I116" s="6" t="s">
        <v>60</v>
      </c>
      <c r="J116" s="6" t="s">
        <v>786</v>
      </c>
      <c r="K116" s="6" t="s">
        <v>73</v>
      </c>
      <c r="L116" s="6" t="s">
        <v>787</v>
      </c>
      <c r="M116" s="6" t="s">
        <v>99</v>
      </c>
    </row>
    <row r="117" ht="15.75" customHeight="1">
      <c r="A117" s="5" t="s">
        <v>766</v>
      </c>
      <c r="B117" s="6" t="s">
        <v>767</v>
      </c>
      <c r="C117" s="6" t="s">
        <v>505</v>
      </c>
      <c r="D117" s="6" t="s">
        <v>702</v>
      </c>
      <c r="E117" s="6" t="s">
        <v>789</v>
      </c>
      <c r="F117" s="6" t="s">
        <v>161</v>
      </c>
      <c r="G117" s="6" t="s">
        <v>162</v>
      </c>
      <c r="H117" s="6" t="s">
        <v>790</v>
      </c>
      <c r="I117" s="6" t="s">
        <v>60</v>
      </c>
      <c r="J117" s="6" t="s">
        <v>393</v>
      </c>
      <c r="K117" s="6" t="s">
        <v>73</v>
      </c>
      <c r="L117" s="6" t="s">
        <v>667</v>
      </c>
      <c r="M117" s="6" t="s">
        <v>99</v>
      </c>
    </row>
    <row r="118" ht="15.75" customHeight="1">
      <c r="A118" s="5" t="s">
        <v>766</v>
      </c>
      <c r="B118" s="6" t="s">
        <v>767</v>
      </c>
      <c r="C118" s="6" t="s">
        <v>711</v>
      </c>
      <c r="D118" s="6" t="s">
        <v>712</v>
      </c>
      <c r="E118" s="6" t="s">
        <v>791</v>
      </c>
      <c r="F118" s="6" t="s">
        <v>161</v>
      </c>
      <c r="G118" s="6" t="s">
        <v>162</v>
      </c>
      <c r="H118" s="6" t="s">
        <v>792</v>
      </c>
      <c r="I118" s="6" t="s">
        <v>60</v>
      </c>
      <c r="J118" s="6" t="s">
        <v>793</v>
      </c>
      <c r="K118" s="6" t="s">
        <v>73</v>
      </c>
      <c r="L118" s="6" t="s">
        <v>794</v>
      </c>
      <c r="M118" s="6" t="s">
        <v>99</v>
      </c>
    </row>
    <row r="119" ht="15.75" customHeight="1">
      <c r="A119" s="5" t="s">
        <v>766</v>
      </c>
      <c r="B119" s="6" t="s">
        <v>767</v>
      </c>
      <c r="C119" s="6" t="s">
        <v>716</v>
      </c>
      <c r="D119" s="6" t="s">
        <v>717</v>
      </c>
      <c r="E119" s="6" t="s">
        <v>719</v>
      </c>
      <c r="F119" s="6" t="s">
        <v>161</v>
      </c>
      <c r="G119" s="6" t="s">
        <v>162</v>
      </c>
      <c r="H119" s="6" t="s">
        <v>795</v>
      </c>
      <c r="I119" s="6" t="s">
        <v>60</v>
      </c>
      <c r="J119" s="6" t="s">
        <v>393</v>
      </c>
      <c r="K119" s="6" t="s">
        <v>73</v>
      </c>
      <c r="L119" s="6" t="s">
        <v>667</v>
      </c>
      <c r="M119" s="6" t="s">
        <v>99</v>
      </c>
    </row>
    <row r="120" ht="15.75" customHeight="1">
      <c r="A120" s="5" t="s">
        <v>766</v>
      </c>
      <c r="B120" s="6" t="s">
        <v>767</v>
      </c>
      <c r="C120" s="6" t="s">
        <v>722</v>
      </c>
      <c r="D120" s="6" t="s">
        <v>723</v>
      </c>
      <c r="E120" s="6" t="s">
        <v>799</v>
      </c>
      <c r="F120" s="6" t="s">
        <v>161</v>
      </c>
      <c r="G120" s="6" t="s">
        <v>162</v>
      </c>
      <c r="H120" s="6" t="s">
        <v>800</v>
      </c>
      <c r="I120" s="6" t="s">
        <v>117</v>
      </c>
      <c r="J120" s="6" t="s">
        <v>393</v>
      </c>
      <c r="K120" s="6" t="s">
        <v>73</v>
      </c>
      <c r="L120" s="6" t="s">
        <v>803</v>
      </c>
      <c r="M120" s="6" t="s">
        <v>99</v>
      </c>
      <c r="N120" s="27"/>
      <c r="O120" s="27"/>
      <c r="P120" s="27"/>
      <c r="Q120" s="27"/>
    </row>
    <row r="121" ht="15.75" customHeight="1">
      <c r="A121" s="5" t="s">
        <v>766</v>
      </c>
      <c r="B121" s="6" t="s">
        <v>767</v>
      </c>
      <c r="C121" s="6" t="s">
        <v>805</v>
      </c>
      <c r="D121" s="6" t="s">
        <v>358</v>
      </c>
      <c r="E121" s="6" t="s">
        <v>806</v>
      </c>
      <c r="F121" s="6" t="s">
        <v>161</v>
      </c>
      <c r="G121" s="6" t="s">
        <v>162</v>
      </c>
      <c r="H121" s="6" t="s">
        <v>807</v>
      </c>
      <c r="I121" s="6" t="s">
        <v>60</v>
      </c>
      <c r="J121" s="6" t="s">
        <v>808</v>
      </c>
      <c r="K121" s="6" t="s">
        <v>73</v>
      </c>
      <c r="L121" s="6" t="s">
        <v>809</v>
      </c>
      <c r="M121" s="6" t="s">
        <v>99</v>
      </c>
      <c r="N121" s="28"/>
    </row>
    <row r="122" ht="15.75" customHeight="1">
      <c r="A122" s="5" t="s">
        <v>810</v>
      </c>
      <c r="B122" s="6" t="s">
        <v>811</v>
      </c>
      <c r="C122" s="6" t="s">
        <v>812</v>
      </c>
      <c r="D122" s="6" t="s">
        <v>813</v>
      </c>
      <c r="E122" s="6" t="s">
        <v>814</v>
      </c>
      <c r="F122" s="6" t="s">
        <v>161</v>
      </c>
      <c r="G122" s="6" t="s">
        <v>162</v>
      </c>
      <c r="H122" s="6">
        <v>3.5002136E7</v>
      </c>
      <c r="I122" s="6" t="s">
        <v>60</v>
      </c>
      <c r="J122" s="6" t="s">
        <v>815</v>
      </c>
      <c r="K122" s="6" t="s">
        <v>73</v>
      </c>
      <c r="L122" s="6" t="s">
        <v>628</v>
      </c>
      <c r="M122" s="6" t="s">
        <v>166</v>
      </c>
    </row>
    <row r="123" ht="15.75" customHeight="1">
      <c r="A123" s="5" t="s">
        <v>810</v>
      </c>
      <c r="B123" s="6" t="s">
        <v>811</v>
      </c>
      <c r="C123" s="6" t="s">
        <v>505</v>
      </c>
      <c r="D123" s="6" t="s">
        <v>702</v>
      </c>
      <c r="E123" s="6" t="s">
        <v>817</v>
      </c>
      <c r="F123" s="6" t="s">
        <v>161</v>
      </c>
      <c r="G123" s="6" t="s">
        <v>162</v>
      </c>
      <c r="H123" s="6" t="s">
        <v>820</v>
      </c>
      <c r="I123" s="6" t="s">
        <v>60</v>
      </c>
      <c r="J123" s="6" t="s">
        <v>393</v>
      </c>
      <c r="K123" s="6" t="s">
        <v>73</v>
      </c>
      <c r="L123" s="6" t="s">
        <v>822</v>
      </c>
      <c r="M123" s="6" t="s">
        <v>166</v>
      </c>
    </row>
    <row r="124" ht="15.75" customHeight="1">
      <c r="A124" s="5" t="s">
        <v>810</v>
      </c>
      <c r="B124" s="6" t="s">
        <v>811</v>
      </c>
      <c r="C124" s="6" t="s">
        <v>716</v>
      </c>
      <c r="D124" s="6" t="s">
        <v>717</v>
      </c>
      <c r="E124" s="6" t="s">
        <v>823</v>
      </c>
      <c r="F124" s="6" t="s">
        <v>161</v>
      </c>
      <c r="G124" s="6" t="s">
        <v>162</v>
      </c>
      <c r="H124" s="6" t="s">
        <v>824</v>
      </c>
      <c r="I124" s="6" t="s">
        <v>60</v>
      </c>
      <c r="J124" s="6" t="s">
        <v>393</v>
      </c>
      <c r="K124" s="6" t="s">
        <v>73</v>
      </c>
      <c r="L124" s="6" t="s">
        <v>162</v>
      </c>
      <c r="M124" s="6" t="s">
        <v>166</v>
      </c>
    </row>
    <row r="125" ht="15.75" customHeight="1">
      <c r="A125" s="5" t="s">
        <v>810</v>
      </c>
      <c r="B125" s="6" t="s">
        <v>811</v>
      </c>
      <c r="C125" s="6" t="s">
        <v>825</v>
      </c>
      <c r="D125" s="6" t="s">
        <v>826</v>
      </c>
      <c r="E125" s="6" t="s">
        <v>827</v>
      </c>
      <c r="F125" s="6" t="s">
        <v>161</v>
      </c>
      <c r="G125" s="6" t="s">
        <v>162</v>
      </c>
      <c r="H125" s="6" t="s">
        <v>828</v>
      </c>
      <c r="I125" s="6" t="s">
        <v>60</v>
      </c>
      <c r="J125" s="6" t="s">
        <v>393</v>
      </c>
      <c r="K125" s="6" t="s">
        <v>73</v>
      </c>
      <c r="L125" s="6" t="s">
        <v>162</v>
      </c>
      <c r="M125" s="6" t="s">
        <v>166</v>
      </c>
    </row>
    <row r="126" ht="15.75" customHeight="1">
      <c r="A126" s="5" t="s">
        <v>810</v>
      </c>
      <c r="B126" s="6" t="s">
        <v>811</v>
      </c>
      <c r="C126" s="6" t="s">
        <v>722</v>
      </c>
      <c r="D126" s="6" t="s">
        <v>723</v>
      </c>
      <c r="E126" s="6" t="s">
        <v>829</v>
      </c>
      <c r="F126" s="6" t="s">
        <v>161</v>
      </c>
      <c r="G126" s="6" t="s">
        <v>162</v>
      </c>
      <c r="H126" s="6" t="s">
        <v>830</v>
      </c>
      <c r="I126" s="6" t="s">
        <v>60</v>
      </c>
      <c r="J126" s="6" t="s">
        <v>393</v>
      </c>
      <c r="K126" s="6" t="s">
        <v>73</v>
      </c>
      <c r="L126" s="6" t="s">
        <v>728</v>
      </c>
      <c r="M126" s="6" t="s">
        <v>166</v>
      </c>
    </row>
    <row r="127" ht="15.75" customHeight="1">
      <c r="A127" s="5" t="s">
        <v>832</v>
      </c>
      <c r="B127" s="6" t="s">
        <v>833</v>
      </c>
      <c r="C127" s="6" t="s">
        <v>834</v>
      </c>
      <c r="D127" s="6" t="s">
        <v>835</v>
      </c>
      <c r="E127" s="6" t="s">
        <v>836</v>
      </c>
      <c r="F127" s="6" t="s">
        <v>161</v>
      </c>
      <c r="G127" s="6" t="s">
        <v>162</v>
      </c>
      <c r="H127" s="6">
        <v>3.55030815000169E14</v>
      </c>
      <c r="I127" s="6" t="s">
        <v>60</v>
      </c>
      <c r="J127" s="6" t="s">
        <v>837</v>
      </c>
      <c r="K127" s="6" t="s">
        <v>73</v>
      </c>
      <c r="L127" s="6" t="s">
        <v>838</v>
      </c>
      <c r="M127" s="6" t="s">
        <v>99</v>
      </c>
    </row>
    <row r="128" ht="15.75" customHeight="1">
      <c r="A128" s="5" t="s">
        <v>832</v>
      </c>
      <c r="B128" s="6" t="s">
        <v>833</v>
      </c>
      <c r="C128" s="6" t="s">
        <v>840</v>
      </c>
      <c r="D128" s="6" t="s">
        <v>358</v>
      </c>
      <c r="E128" s="6" t="s">
        <v>842</v>
      </c>
      <c r="F128" s="6" t="s">
        <v>161</v>
      </c>
      <c r="G128" s="6" t="s">
        <v>162</v>
      </c>
      <c r="H128" s="6">
        <v>15.0</v>
      </c>
      <c r="I128" s="6" t="s">
        <v>60</v>
      </c>
      <c r="J128" s="6" t="s">
        <v>843</v>
      </c>
      <c r="K128" s="6" t="s">
        <v>73</v>
      </c>
      <c r="L128" s="6" t="s">
        <v>844</v>
      </c>
      <c r="M128" s="6" t="s">
        <v>99</v>
      </c>
    </row>
    <row r="129" ht="15.75" customHeight="1">
      <c r="A129" s="5" t="s">
        <v>832</v>
      </c>
      <c r="B129" s="6" t="s">
        <v>833</v>
      </c>
      <c r="C129" s="6" t="s">
        <v>675</v>
      </c>
      <c r="D129" s="6" t="s">
        <v>845</v>
      </c>
      <c r="E129" s="6" t="s">
        <v>846</v>
      </c>
      <c r="F129" s="6" t="s">
        <v>64</v>
      </c>
      <c r="G129" s="6" t="s">
        <v>678</v>
      </c>
      <c r="H129" s="6">
        <v>128.0</v>
      </c>
      <c r="I129" s="6" t="s">
        <v>60</v>
      </c>
      <c r="J129" s="6" t="s">
        <v>847</v>
      </c>
      <c r="K129" s="6" t="s">
        <v>73</v>
      </c>
      <c r="L129" s="6" t="s">
        <v>162</v>
      </c>
      <c r="M129" s="6" t="s">
        <v>99</v>
      </c>
    </row>
    <row r="130" ht="15.75" customHeight="1">
      <c r="A130" s="5" t="s">
        <v>832</v>
      </c>
      <c r="B130" s="6" t="s">
        <v>833</v>
      </c>
      <c r="C130" s="6" t="s">
        <v>557</v>
      </c>
      <c r="D130" s="6" t="s">
        <v>848</v>
      </c>
      <c r="E130" s="6" t="s">
        <v>849</v>
      </c>
      <c r="F130" s="6" t="s">
        <v>64</v>
      </c>
      <c r="G130" s="6" t="s">
        <v>104</v>
      </c>
      <c r="H130" s="6">
        <v>248.0</v>
      </c>
      <c r="I130" s="6" t="s">
        <v>60</v>
      </c>
      <c r="J130" s="6" t="s">
        <v>850</v>
      </c>
      <c r="K130" s="6" t="s">
        <v>73</v>
      </c>
      <c r="L130" s="6" t="s">
        <v>162</v>
      </c>
      <c r="M130" s="6" t="s">
        <v>99</v>
      </c>
    </row>
    <row r="131" ht="15.75" customHeight="1">
      <c r="A131" s="5" t="s">
        <v>832</v>
      </c>
      <c r="B131" s="6" t="s">
        <v>833</v>
      </c>
      <c r="C131" s="6" t="s">
        <v>680</v>
      </c>
      <c r="D131" s="6" t="s">
        <v>852</v>
      </c>
      <c r="E131" s="6" t="s">
        <v>853</v>
      </c>
      <c r="F131" s="6" t="s">
        <v>208</v>
      </c>
      <c r="G131" s="6" t="s">
        <v>523</v>
      </c>
      <c r="H131" s="6">
        <v>7897.3733</v>
      </c>
      <c r="I131" s="6" t="s">
        <v>60</v>
      </c>
      <c r="J131" s="6" t="s">
        <v>855</v>
      </c>
      <c r="K131" s="6" t="s">
        <v>73</v>
      </c>
      <c r="L131" s="6" t="s">
        <v>856</v>
      </c>
      <c r="M131" s="6" t="s">
        <v>99</v>
      </c>
    </row>
    <row r="132" ht="15.75" customHeight="1">
      <c r="A132" s="5" t="s">
        <v>832</v>
      </c>
      <c r="B132" s="6" t="s">
        <v>833</v>
      </c>
      <c r="C132" s="6" t="s">
        <v>859</v>
      </c>
      <c r="D132" s="6" t="s">
        <v>860</v>
      </c>
      <c r="E132" s="6" t="s">
        <v>861</v>
      </c>
      <c r="F132" s="6" t="s">
        <v>64</v>
      </c>
      <c r="G132" s="6" t="s">
        <v>863</v>
      </c>
      <c r="H132" s="6">
        <v>2.0</v>
      </c>
      <c r="I132" s="6" t="s">
        <v>117</v>
      </c>
      <c r="J132" s="6" t="s">
        <v>864</v>
      </c>
      <c r="K132" s="6" t="s">
        <v>432</v>
      </c>
      <c r="L132" s="6" t="s">
        <v>162</v>
      </c>
      <c r="M132" s="6" t="s">
        <v>865</v>
      </c>
    </row>
    <row r="133" ht="15.75" customHeight="1">
      <c r="A133" s="5"/>
      <c r="B133" s="2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5.75" customHeight="1">
      <c r="A134" s="5"/>
      <c r="B134" s="2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5.75" customHeight="1">
      <c r="A135" s="5"/>
      <c r="B135" s="2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5.75" customHeight="1">
      <c r="A136" s="5"/>
      <c r="B136" s="2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5.75" customHeight="1">
      <c r="A137" s="5"/>
      <c r="B137" s="2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5.75" customHeight="1">
      <c r="A138" s="5"/>
      <c r="B138" s="2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5.75" customHeight="1">
      <c r="A139" s="5"/>
      <c r="B139" s="2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5.75" customHeight="1">
      <c r="A140" s="5"/>
      <c r="B140" s="2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5.75" customHeight="1">
      <c r="A141" s="5"/>
      <c r="B141" s="2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5.75" customHeight="1">
      <c r="A142" s="5"/>
      <c r="B142" s="2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5.75" customHeight="1">
      <c r="A143" s="5"/>
      <c r="B143" s="2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5.75" customHeight="1">
      <c r="A144" s="5"/>
      <c r="B144" s="2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5.75" customHeight="1">
      <c r="A145" s="5"/>
      <c r="B145" s="2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5.75" customHeight="1">
      <c r="A146" s="5"/>
      <c r="B146" s="2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5.75" customHeight="1">
      <c r="A147" s="5"/>
      <c r="B147" s="2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5.75" customHeight="1">
      <c r="A148" s="5"/>
      <c r="B148" s="2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5.75" customHeight="1">
      <c r="A149" s="5"/>
      <c r="B149" s="2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5.75" customHeight="1">
      <c r="A150" s="5"/>
      <c r="B150" s="2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5.75" customHeight="1">
      <c r="A151" s="5"/>
      <c r="B151" s="2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5.75" customHeight="1">
      <c r="A152" s="5"/>
      <c r="B152" s="2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5.75" customHeight="1">
      <c r="A153" s="5"/>
      <c r="B153" s="2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5.75" customHeight="1">
      <c r="A154" s="5"/>
      <c r="B154" s="2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5.75" customHeight="1">
      <c r="A155" s="5"/>
      <c r="B155" s="2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5.75" customHeight="1">
      <c r="A156" s="5"/>
      <c r="B156" s="2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5.75" customHeight="1">
      <c r="A157" s="5"/>
      <c r="B157" s="2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5:F157">
      <formula1>"Texto,Entero,Decimal,Fecha,Booleano,Código,Coordenada / geometría,Hora"</formula1>
    </dataValidation>
    <dataValidation type="list" allowBlank="1" sqref="I5:I157">
      <formula1>"Sí,No"</formula1>
    </dataValidation>
    <dataValidation type="list" allowBlank="1" sqref="K5:K157">
      <formula1>"Pública,Interna,Sensible,Dato personal"</formula1>
    </dataValidation>
  </dataValidations>
  <hyperlinks>
    <hyperlink r:id="rId4" ref="D34"/>
  </hyperlinks>
  <printOptions/>
  <pageMargins bottom="1.0" footer="0.0" header="0.0" left="0.75" right="0.75" top="1.0"/>
  <pageSetup orientation="landscape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4" width="36.0"/>
    <col customWidth="1" min="5" max="5" width="30.0"/>
    <col customWidth="1" min="6" max="6" width="16.0"/>
    <col customWidth="1" min="7" max="7" width="19.0"/>
    <col customWidth="1" min="8" max="8" width="30.0"/>
    <col customWidth="1" min="9" max="26" width="8.86"/>
  </cols>
  <sheetData>
    <row r="1">
      <c r="A1" s="1" t="s">
        <v>1</v>
      </c>
    </row>
    <row r="2">
      <c r="A2" s="2" t="s">
        <v>4</v>
      </c>
    </row>
    <row r="3" ht="42.0" customHeight="1">
      <c r="A3" s="3" t="s">
        <v>7</v>
      </c>
      <c r="B3" s="3" t="s">
        <v>10</v>
      </c>
      <c r="C3" s="3" t="s">
        <v>13</v>
      </c>
      <c r="D3" s="3" t="s">
        <v>15</v>
      </c>
      <c r="E3" s="3" t="s">
        <v>17</v>
      </c>
      <c r="F3" s="3" t="s">
        <v>20</v>
      </c>
      <c r="G3" s="3" t="s">
        <v>23</v>
      </c>
      <c r="H3" s="3" t="s">
        <v>26</v>
      </c>
    </row>
    <row r="4">
      <c r="A4" s="4" t="s">
        <v>32</v>
      </c>
      <c r="B4" s="4" t="s">
        <v>44</v>
      </c>
      <c r="C4" s="4" t="s">
        <v>45</v>
      </c>
      <c r="D4" s="4" t="s">
        <v>47</v>
      </c>
      <c r="E4" s="4" t="s">
        <v>49</v>
      </c>
      <c r="F4" s="4" t="s">
        <v>50</v>
      </c>
      <c r="G4" s="4" t="s">
        <v>43</v>
      </c>
      <c r="H4" s="4" t="s">
        <v>54</v>
      </c>
    </row>
    <row r="5">
      <c r="A5" s="5">
        <v>1.0</v>
      </c>
      <c r="B5" s="5" t="s">
        <v>44</v>
      </c>
      <c r="C5" s="5" t="s">
        <v>74</v>
      </c>
      <c r="D5" s="5" t="s">
        <v>76</v>
      </c>
      <c r="E5" s="5" t="s">
        <v>80</v>
      </c>
      <c r="F5" s="5" t="s">
        <v>86</v>
      </c>
      <c r="G5" s="5" t="s">
        <v>87</v>
      </c>
      <c r="H5" s="7"/>
    </row>
    <row r="6">
      <c r="A6" s="5">
        <v>2.0</v>
      </c>
      <c r="B6" s="5" t="s">
        <v>89</v>
      </c>
      <c r="C6" s="5" t="s">
        <v>90</v>
      </c>
      <c r="D6" s="5" t="s">
        <v>91</v>
      </c>
      <c r="E6" s="5" t="s">
        <v>92</v>
      </c>
      <c r="F6" s="5" t="s">
        <v>86</v>
      </c>
      <c r="G6" s="5" t="s">
        <v>94</v>
      </c>
      <c r="H6" s="5" t="s">
        <v>95</v>
      </c>
    </row>
    <row r="7">
      <c r="A7" s="7"/>
      <c r="B7" s="7"/>
      <c r="C7" s="7"/>
      <c r="D7" s="7"/>
      <c r="E7" s="7"/>
      <c r="F7" s="7"/>
      <c r="G7" s="7"/>
      <c r="H7" s="7"/>
    </row>
    <row r="8">
      <c r="A8" s="7"/>
      <c r="B8" s="7"/>
      <c r="C8" s="7"/>
      <c r="D8" s="7"/>
      <c r="E8" s="7"/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7"/>
      <c r="B13" s="7"/>
      <c r="C13" s="7"/>
      <c r="D13" s="7"/>
      <c r="E13" s="7"/>
      <c r="F13" s="7"/>
      <c r="G13" s="7"/>
      <c r="H13" s="7"/>
    </row>
    <row r="14">
      <c r="A14" s="7"/>
      <c r="B14" s="7"/>
      <c r="C14" s="7"/>
      <c r="D14" s="7"/>
      <c r="E14" s="7"/>
      <c r="F14" s="7"/>
      <c r="G14" s="7"/>
      <c r="H14" s="7"/>
    </row>
    <row r="15">
      <c r="A15" s="7"/>
      <c r="B15" s="7"/>
      <c r="C15" s="7"/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5:F44">
      <formula1>"Correcto,Parcial,Incorrecto,Inventado"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4.0"/>
    <col customWidth="1" min="3" max="26" width="8.86"/>
  </cols>
  <sheetData>
    <row r="1">
      <c r="A1" s="1" t="s">
        <v>288</v>
      </c>
    </row>
    <row r="2">
      <c r="A2" s="2" t="s">
        <v>289</v>
      </c>
    </row>
    <row r="4">
      <c r="A4" s="18" t="s">
        <v>292</v>
      </c>
      <c r="B4" s="20">
        <f>COUNTA('1. Fuentes'!A5:A44)</f>
        <v>40</v>
      </c>
    </row>
    <row r="5">
      <c r="A5" s="21" t="s">
        <v>319</v>
      </c>
      <c r="B5" s="20">
        <f>COUNTIF('1. Fuentes'!N5:N44,"Integrada al lago")</f>
        <v>0</v>
      </c>
    </row>
    <row r="6">
      <c r="A6" s="21" t="s">
        <v>328</v>
      </c>
      <c r="B6" s="20">
        <f>COUNTIF('1. Fuentes'!N5:N44,"Candidata")</f>
        <v>38</v>
      </c>
    </row>
    <row r="7">
      <c r="A7" s="21" t="s">
        <v>344</v>
      </c>
      <c r="B7" s="20">
        <f>COUNTIF('1. Fuentes'!N5:N44,"No responde")</f>
        <v>0</v>
      </c>
    </row>
    <row r="8">
      <c r="A8" s="21" t="s">
        <v>353</v>
      </c>
      <c r="B8" s="20">
        <f>COUNTIF('1. Fuentes'!N5:N44,"No existe (la inventó la IA)")</f>
        <v>0</v>
      </c>
    </row>
    <row r="9">
      <c r="A9" s="21" t="s">
        <v>369</v>
      </c>
      <c r="B9" s="20">
        <f>COUNTIF('1. Fuentes'!N5:N44,"Descartada")</f>
        <v>2</v>
      </c>
    </row>
    <row r="10">
      <c r="A10" s="18" t="s">
        <v>370</v>
      </c>
      <c r="B10" s="20">
        <f>COUNTIF('1. Fuentes'!H5:H44,"no declara")+COUNTIFS('1. Fuentes'!A5:A44,"&lt;&gt;",'1. Fuentes'!H5:H44,"")</f>
        <v>12</v>
      </c>
    </row>
    <row r="11">
      <c r="A11" s="18" t="s">
        <v>387</v>
      </c>
      <c r="B11" s="20">
        <f>COUNTIF('1. Fuentes'!I5:I44,"Personas identificables")+COUNTIF('1. Fuentes'!I5:I44,"Texto libre sin revisar")</f>
        <v>0</v>
      </c>
    </row>
    <row r="12">
      <c r="A12" s="18" t="s">
        <v>394</v>
      </c>
      <c r="B12" s="20">
        <f>COUNTA('2. Diccionario'!C5:C150)</f>
        <v>128</v>
      </c>
    </row>
    <row r="13">
      <c r="A13" s="21" t="s">
        <v>402</v>
      </c>
      <c r="B13" s="20">
        <f>COUNTIF('2. Diccionario'!K5:K150,"Sensible")+COUNTIF('2. Diccionario'!K5:K150,"Dato personal")</f>
        <v>7</v>
      </c>
    </row>
    <row r="14">
      <c r="A14" s="21" t="s">
        <v>415</v>
      </c>
      <c r="B14" s="20">
        <f>COUNTIFS('2. Diccionario'!C5:C150,"&lt;&gt;",'2. Diccionario'!M5:M150,"")</f>
        <v>21</v>
      </c>
    </row>
    <row r="15">
      <c r="A15" s="18" t="s">
        <v>420</v>
      </c>
      <c r="B15" s="20">
        <f>COUNTA('3. Bitácora IA'!C5:C44)</f>
        <v>2</v>
      </c>
    </row>
    <row r="16">
      <c r="A16" s="21" t="s">
        <v>424</v>
      </c>
      <c r="B16" s="20">
        <f>COUNTIF('3. Bitácora IA'!F5:F44,"Incorrecto")+COUNTIF('3. Bitácora IA'!F5:F44,"Inventado")</f>
        <v>0</v>
      </c>
    </row>
    <row r="17">
      <c r="A17" s="18" t="s">
        <v>437</v>
      </c>
      <c r="B17" s="23">
        <f>IF(B15=0,"-",COUNTIF('3. Bitácora IA'!F5:F44,"Correcto")/B15)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